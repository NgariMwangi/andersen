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31" activeTab="34"/>
  </bookViews>
  <sheets>
    <sheet name="Master Record" sheetId="27" r:id="rId1"/>
    <sheet name="Kevin Omondi" sheetId="2" r:id="rId2"/>
    <sheet name="Paul Keitany" sheetId="3" r:id="rId3"/>
    <sheet name="Leonard Omenya" sheetId="4" r:id="rId4"/>
    <sheet name="David Odhiambo Ogolla" sheetId="5" r:id="rId5"/>
    <sheet name="Mark Zeddy Ndubi" sheetId="33" r:id="rId6"/>
    <sheet name="John Kyalo Kimanzi" sheetId="6" r:id="rId7"/>
    <sheet name="Peter Imeleny Mamai " sheetId="7" r:id="rId8"/>
    <sheet name="Samuel Kiambati Migwi" sheetId="8" r:id="rId9"/>
    <sheet name="Roynorris Ndiritu" sheetId="9" r:id="rId10"/>
    <sheet name="Benard Mukanda" sheetId="11" r:id="rId11"/>
    <sheet name="Samuel Onyango Okello" sheetId="12" r:id="rId12"/>
    <sheet name="Mark Etyang" sheetId="13" r:id="rId13"/>
    <sheet name="Gerald Okoth" sheetId="14" r:id="rId14"/>
    <sheet name="Lewis Mbatia" sheetId="15" r:id="rId15"/>
    <sheet name="Femi Gisemba Gichuki" sheetId="16" r:id="rId16"/>
    <sheet name="Kelvin Mwangi" sheetId="18" r:id="rId17"/>
    <sheet name="Doreen Marete" sheetId="20" r:id="rId18"/>
    <sheet name="Weldon Ruto" sheetId="26" r:id="rId19"/>
    <sheet name="Beryl Kashara" sheetId="21" r:id="rId20"/>
    <sheet name="Levi Ekapten " sheetId="22" r:id="rId21"/>
    <sheet name="Kevin Njue " sheetId="23" r:id="rId22"/>
    <sheet name="Emmanuel Saitoti" sheetId="24" r:id="rId23"/>
    <sheet name="Joy Odhiambo" sheetId="28" r:id="rId24"/>
    <sheet name="Josphat Kagiri" sheetId="29" r:id="rId25"/>
    <sheet name="Maryliz Wangari" sheetId="30" r:id="rId26"/>
    <sheet name="Joy Regeria Makena" sheetId="31" r:id="rId27"/>
    <sheet name="Lilian Irungu " sheetId="32" r:id="rId28"/>
    <sheet name="Mercy Nyambura" sheetId="34" r:id="rId29"/>
    <sheet name="Dennis Mutunga" sheetId="35" r:id="rId30"/>
    <sheet name="Mary Nyaboke" sheetId="37" r:id="rId31"/>
    <sheet name="Edward Musyoki" sheetId="38" r:id="rId32"/>
    <sheet name="Alex Mireri" sheetId="39" r:id="rId33"/>
    <sheet name="Sheet1" sheetId="40" r:id="rId34"/>
    <sheet name="Sheet2" sheetId="41" r:id="rId35"/>
  </sheets>
  <definedNames>
    <definedName name="_xlnm._FilterDatabase" localSheetId="34" hidden="1">Sheet2!$A$5:$I$35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<sst xmlns="http://schemas.openxmlformats.org/spreadsheetml/2006/main" count="1263" uniqueCount="451">
  <si>
    <t xml:space="preserve">NEXGEN FUEL WORKS </t>
  </si>
  <si>
    <t>KENYA 2026 LEAVE TRACKER</t>
  </si>
  <si>
    <t>NAME</t>
  </si>
  <si>
    <t>ACC. LEAVE 2025</t>
  </si>
  <si>
    <t xml:space="preserve">  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</si>
  <si>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</si>
  <si>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</si>
  <si>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</si>
  <si>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</si>
  <si>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</si>
  <si>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</si>
  <si>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</si>
  <si>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</si>
  <si>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</si>
  <si>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</si>
  <si>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</si>
  <si>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</si>
  <si>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</si>
  <si>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 TAKEN</t>
  </si>
  <si>
    <t>BAL 2026</t>
  </si>
  <si>
    <t>SICK OFFS 2026</t>
  </si>
  <si>
    <t>Kevin Njue</t>
  </si>
  <si>
    <t>Kevin Omondi</t>
  </si>
  <si>
    <t xml:space="preserve">Paul Keitany </t>
  </si>
  <si>
    <t>Leonard Omenya</t>
  </si>
  <si>
    <t>David Ogolla</t>
  </si>
  <si>
    <t>Evans Maiyo</t>
  </si>
  <si>
    <t>Peter Mamai</t>
  </si>
  <si>
    <t>Samuel Migwi</t>
  </si>
  <si>
    <t>Roynorris Ndiritu</t>
  </si>
  <si>
    <t>Benard Mukanda</t>
  </si>
  <si>
    <t>Samuel Okello</t>
  </si>
  <si>
    <t xml:space="preserve">Mark Etyang </t>
  </si>
  <si>
    <t>Gerald Okoth</t>
  </si>
  <si>
    <t>Maxwell Mwendwa</t>
  </si>
  <si>
    <t>Femi Gisemba</t>
  </si>
  <si>
    <t>Doreen Marete</t>
  </si>
  <si>
    <t>21</t>
  </si>
  <si>
    <t>Beryl Kashara</t>
  </si>
  <si>
    <t>Naphtali Ngaira</t>
  </si>
  <si>
    <t>Levi Ekapten</t>
  </si>
  <si>
    <t>Emmanuel Saitoti</t>
  </si>
  <si>
    <t>Joy Odhiambo</t>
  </si>
  <si>
    <t xml:space="preserve">Maryliz Wangari </t>
  </si>
  <si>
    <t xml:space="preserve">Joy Regeria </t>
  </si>
  <si>
    <t>Sarah Juma</t>
  </si>
  <si>
    <t>Lilian Irungu</t>
  </si>
  <si>
    <t>Mark Ndubi</t>
  </si>
  <si>
    <t xml:space="preserve">Mercy Nyambura </t>
  </si>
  <si>
    <t>Alex Mireri</t>
  </si>
  <si>
    <t>Dennis Mutunga</t>
  </si>
  <si>
    <t>Edward Musyoki</t>
  </si>
  <si>
    <t>John Kyalo Kimanzi</t>
  </si>
  <si>
    <t>Lewis Mbatia</t>
  </si>
  <si>
    <t>Mary Nyaboke</t>
  </si>
  <si>
    <t>Josphat Kagiri</t>
  </si>
  <si>
    <t>Kelvin Mwangi</t>
  </si>
  <si>
    <t>Weldon Ruto</t>
  </si>
  <si>
    <t>KEVIN OMONDI LEAVE TRACKER 2026</t>
  </si>
  <si>
    <t>Staff no</t>
  </si>
  <si>
    <t>Name</t>
  </si>
  <si>
    <t>Department</t>
  </si>
  <si>
    <t>First Day of Leave</t>
  </si>
  <si>
    <t>Last Day of Leave</t>
  </si>
  <si>
    <t>No of Days</t>
  </si>
  <si>
    <t>Accrued Leave</t>
  </si>
  <si>
    <t>Balance</t>
  </si>
  <si>
    <t>SICK OFFS</t>
  </si>
  <si>
    <t>Mechanical</t>
  </si>
  <si>
    <t>DATES</t>
  </si>
  <si>
    <t>DAYS</t>
  </si>
  <si>
    <t>PAUL KEITANY LEAVE TRACKER 2026</t>
  </si>
  <si>
    <t>Paul Keitany</t>
  </si>
  <si>
    <t>Automation</t>
  </si>
  <si>
    <t xml:space="preserve">DATES </t>
  </si>
  <si>
    <t>Leonard Omenya LEAVE TRACKER 2026</t>
  </si>
  <si>
    <t>009</t>
  </si>
  <si>
    <t xml:space="preserve"> </t>
  </si>
  <si>
    <t>David Odhiambo OgollaLEAVE TRACKER 2026</t>
  </si>
  <si>
    <t>012</t>
  </si>
  <si>
    <t>David Odhiambo Ogolla</t>
  </si>
  <si>
    <t>Mark Zeddy Ndubi LEAVE TRACKER 2026</t>
  </si>
  <si>
    <t>033</t>
  </si>
  <si>
    <t>Mark Zeddy Ndubi</t>
  </si>
  <si>
    <t xml:space="preserve">Mechanical </t>
  </si>
  <si>
    <t>John Kyalo Kimanzi LEAVE TRACKER 2026</t>
  </si>
  <si>
    <t>067</t>
  </si>
  <si>
    <t>Peter Imeleny Mamai LEAVE TRACKER 2026</t>
  </si>
  <si>
    <t>027</t>
  </si>
  <si>
    <t xml:space="preserve">Peter Imeleny Mamai </t>
  </si>
  <si>
    <t>Dates</t>
  </si>
  <si>
    <t>No</t>
  </si>
  <si>
    <t>Samuel Kiambati Migwi LEAVE TRACKER 2026</t>
  </si>
  <si>
    <t>Compasionate leave</t>
  </si>
  <si>
    <t>031</t>
  </si>
  <si>
    <t>Samuel Kiambati Migwi</t>
  </si>
  <si>
    <t xml:space="preserve">DAYS </t>
  </si>
  <si>
    <t>Roynorris Ndiritu LEAVE TRACKER 2026</t>
  </si>
  <si>
    <t>032</t>
  </si>
  <si>
    <t>Civil/NFR</t>
  </si>
  <si>
    <t>Benard Mukanda LEAVE TRACKER 2026</t>
  </si>
  <si>
    <t>039</t>
  </si>
  <si>
    <t>Samuel Onyango Okello LEAVE TRACKER 2026</t>
  </si>
  <si>
    <t>040</t>
  </si>
  <si>
    <t>Samuel Onyango Okello</t>
  </si>
  <si>
    <t>Mark Etyang  LEAVE TRACKER 2026</t>
  </si>
  <si>
    <t>SICK OFF</t>
  </si>
  <si>
    <t>041</t>
  </si>
  <si>
    <t>Mark Etyang</t>
  </si>
  <si>
    <t xml:space="preserve">Finance </t>
  </si>
  <si>
    <t>Gerald Okoth LEAVE TRACKER 2026</t>
  </si>
  <si>
    <t>042</t>
  </si>
  <si>
    <t>Lewis Mbatia LEAVE TRACKER 2026</t>
  </si>
  <si>
    <t>061</t>
  </si>
  <si>
    <t xml:space="preserve">Civil/NFR </t>
  </si>
  <si>
    <t>Femi Gisemba Gichuki LEAVE TRACKER 2026</t>
  </si>
  <si>
    <t>044</t>
  </si>
  <si>
    <t>Femi Gisemba Gichuki</t>
  </si>
  <si>
    <t>29th-Sep</t>
  </si>
  <si>
    <t>to 30th-Sep25</t>
  </si>
  <si>
    <t>Kelvin Mwangi LEAVE TRACKER 2026</t>
  </si>
  <si>
    <t>062</t>
  </si>
  <si>
    <t>Doreen Kathambi Marete LEAVE TRACKER 2026</t>
  </si>
  <si>
    <t>046</t>
  </si>
  <si>
    <t>Doreen Kathambi Marete</t>
  </si>
  <si>
    <t xml:space="preserve">HR&amp;Admin  </t>
  </si>
  <si>
    <t>N</t>
  </si>
  <si>
    <t>Weldon Ruto LEAVE TRACKER 2026</t>
  </si>
  <si>
    <t>048</t>
  </si>
  <si>
    <t>Beryl Kashara LEAVE TRACKER 2026</t>
  </si>
  <si>
    <t>054</t>
  </si>
  <si>
    <t>Levi Ekapten LEAVE TRACKER 2026</t>
  </si>
  <si>
    <t>049</t>
  </si>
  <si>
    <t>Kevin Njue LEAVE TRACKER 2026</t>
  </si>
  <si>
    <t>051</t>
  </si>
  <si>
    <t>Emmanuel Saitoti LEAVE TRACKER 2026</t>
  </si>
  <si>
    <t>057</t>
  </si>
  <si>
    <t>Finance</t>
  </si>
  <si>
    <t>Joy Odhiambo LEAVE TRACKER 2026</t>
  </si>
  <si>
    <t>053</t>
  </si>
  <si>
    <t>HR&amp;Admin</t>
  </si>
  <si>
    <t>Josphat Kagiri   LEAVE TRACKER 2026</t>
  </si>
  <si>
    <t>064</t>
  </si>
  <si>
    <t>Marylliz Wangari    LEAVE TRACKER 2026</t>
  </si>
  <si>
    <t>056</t>
  </si>
  <si>
    <t>Maryliz Wangari</t>
  </si>
  <si>
    <t>Technical</t>
  </si>
  <si>
    <t>Joy Regeria Makena  LEAVE TRACKER 2026</t>
  </si>
  <si>
    <t>055</t>
  </si>
  <si>
    <t xml:space="preserve">Joy Regeria Makena </t>
  </si>
  <si>
    <t>Lilian Irungu   LEAVE TRACKER 2026</t>
  </si>
  <si>
    <t>059</t>
  </si>
  <si>
    <t xml:space="preserve">Lilian Irungu Wangui </t>
  </si>
  <si>
    <t>Mercy Nyambura  LEAVE TRACKER 2026</t>
  </si>
  <si>
    <t>Dennis Mutunga LEAVE TRACKER 2026</t>
  </si>
  <si>
    <t>065</t>
  </si>
  <si>
    <t>Mary Nyaboke LEAVE TRACKER 2026</t>
  </si>
  <si>
    <t>066</t>
  </si>
  <si>
    <t>Edward Musyoki LEAVE TRACKER 2026</t>
  </si>
  <si>
    <t>068</t>
  </si>
  <si>
    <t>Alex Mireri LEAVE TRACKER 2026</t>
  </si>
  <si>
    <t xml:space="preserve">(Gone 2 days) </t>
  </si>
  <si>
    <t>(Gone 4 days)</t>
  </si>
  <si>
    <t>(Going 11 days, March)</t>
  </si>
  <si>
    <t>(Going 5 days, March)</t>
  </si>
  <si>
    <t>(Gone 5 days)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</si>
  <si>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</si>
  <si>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</si>
  <si>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</si>
  <si>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</si>
  <si>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</si>
  <si>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</si>
  <si>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</si>
  <si>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</si>
  <si>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</si>
  <si>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</si>
  <si>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</si>
  <si>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THUR</t>
  </si>
  <si>
    <t>FRI</t>
  </si>
  <si>
    <t>SAT</t>
  </si>
  <si>
    <t>SUN</t>
  </si>
  <si>
    <t>MON</t>
  </si>
  <si>
    <t>TUE</t>
  </si>
  <si>
    <t>WED</t>
  </si>
  <si>
    <t>STAFF NO.</t>
  </si>
  <si>
    <t>DESIGNATION</t>
  </si>
  <si>
    <t>BALANCE B/F(2025)</t>
  </si>
  <si>
    <t>LEAVE ENTITLEMENT</t>
  </si>
  <si>
    <t>PH/OFF/OT</t>
  </si>
  <si>
    <t>TOTAL DAYS</t>
  </si>
  <si>
    <t>DAYS TAKEN</t>
  </si>
  <si>
    <t>BALANCE</t>
  </si>
  <si>
    <t>13/1/2026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</si>
  <si>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</si>
  <si>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</si>
  <si>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</si>
  <si>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</si>
  <si>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</si>
  <si>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</si>
  <si>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</si>
  <si>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</si>
  <si>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</si>
  <si>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</si>
  <si>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</si>
  <si>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</si>
  <si>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</si>
  <si>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</si>
  <si>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</si>
  <si>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</si>
  <si>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</si>
  <si>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</si>
  <si>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</si>
  <si>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</si>
  <si>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</si>
  <si>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</si>
  <si>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</si>
  <si>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</si>
  <si>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</si>
  <si>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</si>
  <si>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</si>
  <si>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</si>
  <si>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</si>
  <si>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</si>
  <si>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</si>
  <si>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</si>
  <si>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</si>
  <si>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</si>
  <si>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</si>
  <si>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</si>
  <si>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</si>
  <si>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</si>
  <si>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</si>
  <si>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</si>
  <si>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</si>
  <si>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</si>
  <si>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</si>
  <si>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</si>
  <si>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</si>
  <si>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</si>
  <si>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</si>
  <si>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</si>
  <si>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</si>
  <si>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</si>
  <si>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</si>
  <si>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</si>
  <si>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</si>
  <si>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13/4/2026</t>
  </si>
  <si>
    <t>14/4/2026</t>
  </si>
  <si>
    <t>15/4/2026</t>
  </si>
  <si>
    <t>16/4/2026</t>
  </si>
  <si>
    <t>17/4/2026</t>
  </si>
  <si>
    <t>18/4/2026</t>
  </si>
  <si>
    <t>19/4/2026</t>
  </si>
  <si>
    <t>20/4/2026</t>
  </si>
  <si>
    <t>21/4/2026</t>
  </si>
  <si>
    <t>22/4/2026</t>
  </si>
  <si>
    <t>23/4/2026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</si>
  <si>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</si>
  <si>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</si>
  <si>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</si>
  <si>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</si>
  <si>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</si>
  <si>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</si>
  <si>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</si>
  <si>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13/5/2026</t>
  </si>
  <si>
    <t>14/5/2026</t>
  </si>
  <si>
    <t>15/5/2026</t>
  </si>
  <si>
    <t>16/5/2026</t>
  </si>
  <si>
    <t>17/5/2026</t>
  </si>
  <si>
    <t>18/5/2026</t>
  </si>
  <si>
    <t>19/5/2026</t>
  </si>
  <si>
    <t>20/5/2026</t>
  </si>
  <si>
    <t>21/5/2026</t>
  </si>
  <si>
    <t>22/5/2026</t>
  </si>
  <si>
    <t>23/5/2026</t>
  </si>
  <si>
    <t>24/5/2026</t>
  </si>
  <si>
    <t>25/5/2026</t>
  </si>
  <si>
    <t>26/5/2026</t>
  </si>
  <si>
    <t>27/5/2026</t>
  </si>
  <si>
    <t>28/5/2026</t>
  </si>
  <si>
    <t>29/5/2026</t>
  </si>
  <si>
    <t>30/5/2026</t>
  </si>
  <si>
    <t>31/5/2026</t>
  </si>
  <si>
    <t>04/06/026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</si>
  <si>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</si>
  <si>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</si>
  <si>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</si>
  <si>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</si>
  <si>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</si>
  <si>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</si>
  <si>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</si>
  <si>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</si>
  <si>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</si>
  <si>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</si>
  <si>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</si>
  <si>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</si>
  <si>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</si>
  <si>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</si>
  <si>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</si>
  <si>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</si>
  <si>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</si>
  <si>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</si>
  <si>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04/07/026</t>
  </si>
  <si>
    <t>13/7/2026</t>
  </si>
  <si>
    <t>14/7/2026</t>
  </si>
  <si>
    <t>15/7/2026</t>
  </si>
  <si>
    <t>16/7/2026</t>
  </si>
  <si>
    <t>17/7/2026</t>
  </si>
  <si>
    <t>18/7/2026</t>
  </si>
  <si>
    <t>19/7/2026</t>
  </si>
  <si>
    <t>20/7/2026</t>
  </si>
  <si>
    <t>21/7/2026</t>
  </si>
  <si>
    <t>22/7/2026</t>
  </si>
  <si>
    <t>23/7/2026</t>
  </si>
  <si>
    <t>24/7/2026</t>
  </si>
  <si>
    <t>25/7/2026</t>
  </si>
  <si>
    <t>26/7/2026</t>
  </si>
  <si>
    <t>27/7/2026</t>
  </si>
  <si>
    <t>28/7/2026</t>
  </si>
  <si>
    <t>29/7/2026</t>
  </si>
  <si>
    <t>30/7/2026</t>
  </si>
  <si>
    <t>31/7/2027</t>
  </si>
  <si>
    <t>04/8/026</t>
  </si>
  <si>
    <t>13/8/2026</t>
  </si>
  <si>
    <t>14/8/2026</t>
  </si>
  <si>
    <t>15/8/2026</t>
  </si>
  <si>
    <t>16/8/2026</t>
  </si>
  <si>
    <t>17/8/2026</t>
  </si>
  <si>
    <t>18/8/2026</t>
  </si>
  <si>
    <t>19/8/2026</t>
  </si>
  <si>
    <t>20/8/2026</t>
  </si>
  <si>
    <t>21/8/2026</t>
  </si>
  <si>
    <t>22/8/2026</t>
  </si>
  <si>
    <t>23/8/2026</t>
  </si>
  <si>
    <t>24/8/2026</t>
  </si>
  <si>
    <t>25/8/2026</t>
  </si>
  <si>
    <t>26/8/2026</t>
  </si>
  <si>
    <t>27/8/2026</t>
  </si>
  <si>
    <t>28/8/2026</t>
  </si>
  <si>
    <t>29/8/2026</t>
  </si>
  <si>
    <t>30/8/2026</t>
  </si>
  <si>
    <t>31/8/2027</t>
  </si>
  <si>
    <t>04/9/026</t>
  </si>
  <si>
    <t>13/9/2026</t>
  </si>
  <si>
    <t>14/9/2026</t>
  </si>
  <si>
    <t>15/9/2026</t>
  </si>
  <si>
    <t>16/9/2026</t>
  </si>
  <si>
    <t>17/9/2026</t>
  </si>
  <si>
    <t>18/9/2026</t>
  </si>
  <si>
    <t>19/9/2026</t>
  </si>
  <si>
    <t>20/9/2026</t>
  </si>
  <si>
    <t>21/9/2026</t>
  </si>
  <si>
    <t>22/9/2026</t>
  </si>
  <si>
    <t>23/9/2026</t>
  </si>
  <si>
    <t>24/9/2026</t>
  </si>
  <si>
    <t>25/9/2026</t>
  </si>
  <si>
    <t>26/9/2026</t>
  </si>
  <si>
    <t>27/9/2026</t>
  </si>
  <si>
    <t>28/9/2026</t>
  </si>
  <si>
    <t>29/9/2026</t>
  </si>
  <si>
    <t>30/9/2026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</si>
  <si>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</si>
  <si>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</si>
  <si>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</si>
  <si>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</si>
  <si>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</si>
  <si>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</si>
  <si>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</si>
  <si>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</si>
  <si>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</si>
  <si>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</si>
  <si>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</si>
  <si>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</si>
  <si>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</si>
  <si>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</si>
  <si>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</si>
  <si>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</si>
  <si>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</si>
  <si>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</si>
  <si>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</si>
  <si>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</si>
  <si>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</si>
  <si>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</si>
  <si>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</si>
  <si>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</si>
  <si>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</si>
  <si>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</si>
  <si>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</si>
  <si>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</si>
  <si>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</si>
  <si>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</si>
  <si>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</si>
  <si>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</si>
  <si>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</si>
  <si>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</si>
  <si>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</si>
  <si>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</si>
  <si>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</si>
  <si>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</si>
  <si>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</si>
  <si>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</si>
  <si>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</si>
  <si>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</si>
  <si>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</si>
  <si>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</si>
  <si>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</si>
  <si>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</si>
  <si>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</si>
  <si>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</si>
  <si>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</si>
  <si>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</si>
  <si>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</si>
  <si>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</si>
  <si>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</si>
  <si>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</si>
  <si>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</si>
  <si>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</si>
  <si>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005</t>
  </si>
  <si>
    <t>MECHANICAL TECHNICIAN</t>
  </si>
  <si>
    <t>007</t>
  </si>
  <si>
    <t>AUTOMATION TECHNICIAN</t>
  </si>
  <si>
    <t>TECHNICAL MANAGER</t>
  </si>
  <si>
    <t>OPERATIONS MANAGER</t>
  </si>
  <si>
    <t>Accounts Payables</t>
  </si>
  <si>
    <t>MECHANICAL/HSSE CO-ORDINATOR</t>
  </si>
  <si>
    <t>Technical / HSSE Supervisor</t>
  </si>
  <si>
    <t>HR &amp; Administration Manager</t>
  </si>
  <si>
    <t>Automation Technician</t>
  </si>
  <si>
    <t>Kevin Njue Maina</t>
  </si>
  <si>
    <t>Beryl Atieno Kashara</t>
  </si>
  <si>
    <t>Ag Managing Director</t>
  </si>
  <si>
    <t>Maryliz Wangari Gachanja</t>
  </si>
  <si>
    <t>Technical &amp; HSE Intern</t>
  </si>
  <si>
    <t>Emmanuel Kipkorir Saitoti</t>
  </si>
  <si>
    <t>Accounts Receivables</t>
  </si>
  <si>
    <t>Senior Accountant</t>
  </si>
  <si>
    <t>060</t>
  </si>
  <si>
    <t>Mercy Nyambura Kinungi</t>
  </si>
  <si>
    <t>Procurement Manager</t>
  </si>
  <si>
    <t>Lewis Mbatia Nderitu</t>
  </si>
  <si>
    <t>Quantity Surveyor</t>
  </si>
  <si>
    <t>063</t>
  </si>
  <si>
    <t>Weldon Kiprotich Ruto</t>
  </si>
  <si>
    <t>Dennis Mutunga Mutisya</t>
  </si>
  <si>
    <t>Mary Nyaboke Nyakundi</t>
  </si>
  <si>
    <t>TECHNICIAN TRAINEE</t>
  </si>
  <si>
    <t>John Kyalo Kimazi</t>
  </si>
  <si>
    <t>069</t>
  </si>
  <si>
    <t xml:space="preserve">Alex Mangabo Mireri </t>
  </si>
  <si>
    <t>Technical Coordinator Intern</t>
  </si>
  <si>
    <t>Dixon Harun Mwanzi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</si>
</sst>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"/>
    <numFmt numFmtId="179" formatCode="[$-409]d\-mmm\-yy;@"/>
    <numFmt numFmtId="180" formatCode="[$-409]d\-mmm;@"/>
    <numFmt numFmtId="181" formatCode="0.0"/>
  </numFmts>
  <fonts count="39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color theme="1"/>
      <name val="Arial"/>
      <charset val="134"/>
    </font>
    <font>
      <sz val="11"/>
      <color rgb="FFFF0000"/>
      <name val="Aptos Narrow"/>
      <charset val="134"/>
      <scheme val="minor"/>
    </font>
    <font>
      <sz val="10"/>
      <name val="Arial"/>
      <charset val="134"/>
    </font>
    <font>
      <b/>
      <sz val="8"/>
      <color theme="1"/>
      <name val="Cambria"/>
      <charset val="134"/>
    </font>
    <font>
      <b/>
      <sz val="8"/>
      <color rgb="FF000000"/>
      <name val="Cambria"/>
      <charset val="134"/>
    </font>
    <font>
      <b/>
      <sz val="11"/>
      <color theme="1"/>
      <name val="Cambria"/>
      <charset val="134"/>
    </font>
    <font>
      <i/>
      <sz val="10"/>
      <color rgb="FF000000"/>
      <name val="Book Antiqua"/>
      <charset val="134"/>
    </font>
    <font>
      <sz val="10"/>
      <color rgb="FF000000"/>
      <name val="Book Antiqua"/>
      <charset val="134"/>
    </font>
    <font>
      <b/>
      <sz val="11"/>
      <name val="Aptos Narrow"/>
      <charset val="134"/>
      <scheme val="minor"/>
    </font>
    <font>
      <sz val="11"/>
      <name val="Aptos Narrow"/>
      <charset val="134"/>
      <scheme val="minor"/>
    </font>
    <font>
      <b/>
      <sz val="11"/>
      <color rgb="FF002060"/>
      <name val="Aptos Narrow"/>
      <charset val="134"/>
      <scheme val="minor"/>
    </font>
    <font>
      <sz val="11"/>
      <color rgb="FF002060"/>
      <name val="Aptos Narrow"/>
      <charset val="134"/>
      <scheme val="minor"/>
    </font>
    <font>
      <sz val="11"/>
      <color theme="1"/>
      <name val="Cambria"/>
      <charset val="134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b/>
      <u/>
      <sz val="12"/>
      <color rgb="FF000000"/>
      <name val="Cambria"/>
      <charset val="134"/>
    </font>
    <font>
      <b/>
      <sz val="10"/>
      <color theme="1"/>
      <name val="Cambria"/>
      <charset val="134"/>
    </font>
    <font>
      <b/>
      <sz val="10"/>
      <color rgb="FF000000"/>
      <name val="Book Antiqua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5" tint="0.599993896298105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ck">
        <color rgb="FF0000FF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7F7F7F"/>
      </left>
      <right style="thin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2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31" applyNumberFormat="0" applyAlignment="0" applyProtection="0">
      <alignment vertical="center"/>
    </xf>
    <xf numFmtId="0" fontId="29" fillId="12" borderId="32" applyNumberFormat="0" applyAlignment="0" applyProtection="0">
      <alignment vertical="center"/>
    </xf>
    <xf numFmtId="0" fontId="30" fillId="12" borderId="31" applyNumberFormat="0" applyAlignment="0" applyProtection="0">
      <alignment vertical="center"/>
    </xf>
    <xf numFmtId="0" fontId="31" fillId="13" borderId="33" applyNumberFormat="0" applyAlignment="0" applyProtection="0">
      <alignment vertical="center"/>
    </xf>
    <xf numFmtId="0" fontId="32" fillId="0" borderId="34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14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78" fontId="1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58" fontId="1" fillId="2" borderId="3" xfId="0" applyNumberFormat="1" applyFont="1" applyFill="1" applyBorder="1" applyAlignment="1">
      <alignment textRotation="90"/>
    </xf>
    <xf numFmtId="58" fontId="1" fillId="0" borderId="3" xfId="0" applyNumberFormat="1" applyFont="1" applyBorder="1" applyAlignment="1">
      <alignment textRotation="90"/>
    </xf>
    <xf numFmtId="58" fontId="1" fillId="3" borderId="3" xfId="0" applyNumberFormat="1" applyFont="1" applyFill="1" applyBorder="1" applyAlignment="1">
      <alignment textRotation="90"/>
    </xf>
    <xf numFmtId="0" fontId="1" fillId="0" borderId="3" xfId="0" applyFont="1" applyBorder="1" applyAlignment="1">
      <alignment textRotation="90"/>
    </xf>
    <xf numFmtId="58" fontId="1" fillId="0" borderId="4" xfId="0" applyNumberFormat="1" applyFont="1" applyBorder="1" applyAlignment="1">
      <alignment textRotation="90"/>
    </xf>
    <xf numFmtId="58" fontId="1" fillId="3" borderId="5" xfId="0" applyNumberFormat="1" applyFont="1" applyFill="1" applyBorder="1" applyAlignment="1">
      <alignment textRotation="90"/>
    </xf>
    <xf numFmtId="0" fontId="1" fillId="3" borderId="3" xfId="0" applyFont="1" applyFill="1" applyBorder="1" applyAlignment="1">
      <alignment textRotation="90"/>
    </xf>
    <xf numFmtId="0" fontId="1" fillId="0" borderId="4" xfId="0" applyFont="1" applyBorder="1" applyAlignment="1">
      <alignment textRotation="90"/>
    </xf>
    <xf numFmtId="0" fontId="1" fillId="2" borderId="3" xfId="0" applyFont="1" applyFill="1" applyBorder="1" applyAlignment="1">
      <alignment textRotation="90"/>
    </xf>
    <xf numFmtId="58" fontId="1" fillId="0" borderId="7" xfId="0" applyNumberFormat="1" applyFont="1" applyBorder="1" applyAlignment="1">
      <alignment textRotation="90"/>
    </xf>
    <xf numFmtId="58" fontId="1" fillId="0" borderId="8" xfId="0" applyNumberFormat="1" applyFont="1" applyBorder="1" applyAlignment="1">
      <alignment textRotation="90"/>
    </xf>
    <xf numFmtId="58" fontId="1" fillId="2" borderId="8" xfId="0" applyNumberFormat="1" applyFont="1" applyFill="1" applyBorder="1" applyAlignment="1">
      <alignment textRotation="90"/>
    </xf>
    <xf numFmtId="58" fontId="1" fillId="3" borderId="8" xfId="0" applyNumberFormat="1" applyFont="1" applyFill="1" applyBorder="1" applyAlignment="1">
      <alignment textRotation="90"/>
    </xf>
    <xf numFmtId="0" fontId="1" fillId="0" borderId="8" xfId="0" applyFont="1" applyBorder="1" applyAlignment="1">
      <alignment textRotation="90"/>
    </xf>
    <xf numFmtId="58" fontId="1" fillId="0" borderId="9" xfId="0" applyNumberFormat="1" applyFont="1" applyBorder="1" applyAlignment="1">
      <alignment textRotation="90"/>
    </xf>
    <xf numFmtId="58" fontId="1" fillId="2" borderId="5" xfId="0" applyNumberFormat="1" applyFont="1" applyFill="1" applyBorder="1" applyAlignment="1">
      <alignment textRotation="90"/>
    </xf>
    <xf numFmtId="58" fontId="1" fillId="3" borderId="4" xfId="0" applyNumberFormat="1" applyFont="1" applyFill="1" applyBorder="1" applyAlignment="1">
      <alignment textRotation="90"/>
    </xf>
    <xf numFmtId="58" fontId="1" fillId="0" borderId="5" xfId="0" applyNumberFormat="1" applyFont="1" applyBorder="1" applyAlignment="1">
      <alignment textRotation="90"/>
    </xf>
    <xf numFmtId="0" fontId="1" fillId="0" borderId="10" xfId="0" applyFont="1" applyBorder="1" applyAlignment="1">
      <alignment textRotation="90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0" fillId="0" borderId="3" xfId="0" applyBorder="1"/>
    <xf numFmtId="0" fontId="3" fillId="2" borderId="3" xfId="0" applyFont="1" applyFill="1" applyBorder="1"/>
    <xf numFmtId="0" fontId="3" fillId="3" borderId="3" xfId="0" applyFont="1" applyFill="1" applyBorder="1"/>
    <xf numFmtId="0" fontId="0" fillId="0" borderId="4" xfId="0" applyBorder="1"/>
    <xf numFmtId="0" fontId="3" fillId="3" borderId="5" xfId="0" applyFont="1" applyFill="1" applyBorder="1"/>
    <xf numFmtId="0" fontId="0" fillId="0" borderId="5" xfId="0" applyBorder="1"/>
    <xf numFmtId="0" fontId="3" fillId="2" borderId="5" xfId="0" applyFont="1" applyFill="1" applyBorder="1"/>
    <xf numFmtId="0" fontId="3" fillId="3" borderId="4" xfId="0" applyFont="1" applyFill="1" applyBorder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2" fillId="0" borderId="8" xfId="0" applyFont="1" applyBorder="1"/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/>
    <xf numFmtId="0" fontId="4" fillId="4" borderId="3" xfId="0" applyFont="1" applyFill="1" applyBorder="1"/>
    <xf numFmtId="0" fontId="2" fillId="0" borderId="0" xfId="0" applyFont="1" applyBorder="1"/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0" fillId="0" borderId="11" xfId="0" applyBorder="1"/>
    <xf numFmtId="0" fontId="3" fillId="2" borderId="11" xfId="0" applyFont="1" applyFill="1" applyBorder="1"/>
    <xf numFmtId="0" fontId="3" fillId="3" borderId="11" xfId="0" applyFont="1" applyFill="1" applyBorder="1"/>
    <xf numFmtId="0" fontId="0" fillId="3" borderId="11" xfId="0" applyFill="1" applyBorder="1"/>
    <xf numFmtId="0" fontId="0" fillId="0" borderId="12" xfId="0" applyBorder="1"/>
    <xf numFmtId="0" fontId="3" fillId="2" borderId="0" xfId="0" applyFont="1" applyFill="1"/>
    <xf numFmtId="0" fontId="3" fillId="3" borderId="0" xfId="0" applyFont="1" applyFill="1"/>
    <xf numFmtId="0" fontId="3" fillId="3" borderId="1" xfId="0" applyFont="1" applyFill="1" applyBorder="1"/>
    <xf numFmtId="0" fontId="5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78" fontId="1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10" fillId="0" borderId="3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/>
    </xf>
    <xf numFmtId="0" fontId="1" fillId="0" borderId="3" xfId="0" applyFont="1" applyBorder="1"/>
    <xf numFmtId="179" fontId="0" fillId="0" borderId="3" xfId="0" applyNumberFormat="1" applyBorder="1"/>
    <xf numFmtId="58" fontId="0" fillId="0" borderId="3" xfId="0" applyNumberFormat="1" applyBorder="1"/>
    <xf numFmtId="58" fontId="0" fillId="0" borderId="0" xfId="0" applyNumberFormat="1"/>
    <xf numFmtId="0" fontId="0" fillId="0" borderId="0" xfId="0" applyAlignment="1">
      <alignment wrapText="1"/>
    </xf>
    <xf numFmtId="178" fontId="1" fillId="0" borderId="3" xfId="0" applyNumberFormat="1" applyFont="1" applyBorder="1"/>
    <xf numFmtId="0" fontId="10" fillId="0" borderId="3" xfId="0" applyFont="1" applyBorder="1" applyAlignment="1">
      <alignment horizontal="center"/>
    </xf>
    <xf numFmtId="179" fontId="0" fillId="0" borderId="3" xfId="0" applyNumberFormat="1" applyBorder="1" applyAlignment="1">
      <alignment horizontal="right"/>
    </xf>
    <xf numFmtId="0" fontId="10" fillId="0" borderId="16" xfId="0" applyFont="1" applyBorder="1" applyAlignment="1">
      <alignment horizontal="center" wrapText="1"/>
    </xf>
    <xf numFmtId="0" fontId="10" fillId="0" borderId="17" xfId="0" applyFont="1" applyBorder="1" applyAlignment="1">
      <alignment horizontal="center" wrapText="1"/>
    </xf>
    <xf numFmtId="180" fontId="0" fillId="0" borderId="3" xfId="0" applyNumberFormat="1" applyBorder="1"/>
    <xf numFmtId="0" fontId="11" fillId="0" borderId="3" xfId="0" applyFont="1" applyBorder="1"/>
    <xf numFmtId="0" fontId="3" fillId="0" borderId="3" xfId="0" applyFont="1" applyBorder="1"/>
    <xf numFmtId="0" fontId="0" fillId="0" borderId="3" xfId="0" applyBorder="1" applyAlignment="1">
      <alignment horizontal="center"/>
    </xf>
    <xf numFmtId="179" fontId="0" fillId="0" borderId="0" xfId="0" applyNumberFormat="1" applyAlignment="1">
      <alignment horizontal="right"/>
    </xf>
    <xf numFmtId="0" fontId="0" fillId="4" borderId="3" xfId="0" applyFill="1" applyBorder="1"/>
    <xf numFmtId="0" fontId="1" fillId="0" borderId="5" xfId="0" applyFont="1" applyBorder="1" applyAlignment="1">
      <alignment wrapText="1"/>
    </xf>
    <xf numFmtId="0" fontId="12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3" xfId="0" applyFont="1" applyBorder="1"/>
    <xf numFmtId="0" fontId="13" fillId="0" borderId="3" xfId="0" applyFont="1" applyBorder="1"/>
    <xf numFmtId="0" fontId="12" fillId="0" borderId="3" xfId="0" applyFont="1" applyBorder="1" applyAlignment="1">
      <alignment horizontal="center" wrapText="1"/>
    </xf>
    <xf numFmtId="58" fontId="0" fillId="0" borderId="3" xfId="0" applyNumberFormat="1" applyBorder="1" applyAlignment="1">
      <alignment horizontal="right"/>
    </xf>
    <xf numFmtId="0" fontId="13" fillId="0" borderId="0" xfId="0" applyFont="1"/>
    <xf numFmtId="178" fontId="0" fillId="0" borderId="0" xfId="0" applyNumberFormat="1"/>
    <xf numFmtId="178" fontId="0" fillId="0" borderId="3" xfId="0" applyNumberFormat="1" applyBorder="1"/>
    <xf numFmtId="0" fontId="10" fillId="0" borderId="18" xfId="0" applyFont="1" applyBorder="1" applyAlignment="1">
      <alignment horizontal="center" wrapText="1"/>
    </xf>
    <xf numFmtId="0" fontId="14" fillId="5" borderId="19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4" fillId="0" borderId="20" xfId="0" applyFont="1" applyBorder="1"/>
    <xf numFmtId="0" fontId="16" fillId="5" borderId="20" xfId="0" applyFont="1" applyFill="1" applyBorder="1" applyAlignment="1">
      <alignment horizontal="center"/>
    </xf>
    <xf numFmtId="181" fontId="15" fillId="5" borderId="20" xfId="0" applyNumberFormat="1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7" fillId="5" borderId="0" xfId="0" applyFont="1" applyFill="1" applyAlignment="1">
      <alignment horizontal="left" vertical="top" wrapText="1"/>
    </xf>
    <xf numFmtId="0" fontId="4" fillId="0" borderId="0" xfId="0" applyFont="1"/>
    <xf numFmtId="181" fontId="15" fillId="5" borderId="0" xfId="0" applyNumberFormat="1" applyFont="1" applyFill="1" applyAlignment="1">
      <alignment horizontal="center"/>
    </xf>
    <xf numFmtId="0" fontId="7" fillId="5" borderId="15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181" fontId="18" fillId="5" borderId="21" xfId="0" applyNumberFormat="1" applyFont="1" applyFill="1" applyBorder="1" applyAlignment="1">
      <alignment horizontal="center" vertical="center" wrapText="1"/>
    </xf>
    <xf numFmtId="181" fontId="18" fillId="5" borderId="23" xfId="0" applyNumberFormat="1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2" fontId="19" fillId="0" borderId="25" xfId="0" applyNumberFormat="1" applyFont="1" applyBorder="1" applyAlignment="1">
      <alignment horizontal="center"/>
    </xf>
    <xf numFmtId="181" fontId="19" fillId="0" borderId="26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19" fillId="0" borderId="3" xfId="0" applyNumberFormat="1" applyFont="1" applyBorder="1" applyAlignment="1">
      <alignment horizontal="center"/>
    </xf>
    <xf numFmtId="181" fontId="19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6" borderId="0" xfId="0" applyFill="1"/>
    <xf numFmtId="0" fontId="8" fillId="7" borderId="2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2" fontId="19" fillId="9" borderId="3" xfId="0" applyNumberFormat="1" applyFont="1" applyFill="1" applyBorder="1" applyAlignment="1">
      <alignment horizontal="center"/>
    </xf>
    <xf numFmtId="181" fontId="19" fillId="8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0" borderId="3" xfId="0" applyBorder="1" applyAlignment="1" quotePrefix="1">
      <alignment horizontal="right"/>
    </xf>
    <xf numFmtId="0" fontId="2" fillId="0" borderId="3" xfId="0" applyFont="1" applyBorder="1" applyAlignment="1" quotePrefix="1">
      <alignment horizontal="left"/>
    </xf>
    <xf numFmtId="0" fontId="4" fillId="0" borderId="3" xfId="0" applyFont="1" applyBorder="1" applyAlignment="1" quotePrefix="1">
      <alignment horizontal="left"/>
    </xf>
    <xf numFmtId="0" fontId="2" fillId="4" borderId="3" xfId="0" applyFont="1" applyFill="1" applyBorder="1" applyAlignment="1" quotePrefix="1">
      <alignment horizontal="left"/>
    </xf>
    <xf numFmtId="0" fontId="2" fillId="0" borderId="11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none"/>
      </fill>
    </dxf>
    <dxf>
      <fill>
        <patternFill patternType="none"/>
      </fill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0"/>
        <color rgb="FF000000"/>
      </font>
      <fill>
        <patternFill patternType="none"/>
      </fill>
      <alignment horizontal="center"/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BD4B4"/>
          <bgColor rgb="FFFBD4B4"/>
        </patternFill>
      </fill>
    </dxf>
  </dxfs>
  <tableStyles count="2" defaultTableStyle="TableStyleMedium2" defaultPivotStyle="PivotStyleLight16">
    <tableStyle name="LEAVE TRACKER 2021-style" pivot="0" count="2" xr9:uid="{9C2644DF-198F-430B-9B81-E2616CA2FF2B}">
      <tableStyleElement type="firstRowStripe" dxfId="4"/>
      <tableStyleElement type="secondRowStripe" dxfId="3"/>
    </tableStyle>
    <tableStyle name="LEAVE TRACKER 2021-style 2" pivot="0" count="2" xr9:uid="{FB976913-AB75-4012-96F3-338CC8A83DB7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customXml" Target="../customXml/item3.xml"/><Relationship Id="rId37" Type="http://schemas.openxmlformats.org/officeDocument/2006/relationships/customXml" Target="../customXml/item2.xml"/><Relationship Id="rId36" Type="http://schemas.openxmlformats.org/officeDocument/2006/relationships/customXml" Target="../customXml/item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_5122" displayName="Table_5122" ref="B5:C17" headerRowCount="0">
  <tableColumns count="2">
    <tableColumn id="1" name="Column1" dataDxfId="0"/>
    <tableColumn id="2" name="Column2" dataDxfId="1"/>
  </tableColumns>
  <tableStyleInfo name="LEAVE TRACKER 2021-style" showFirstColumn="1" showLastColumn="1" showRowStripes="1" showColumnStripes="0"/>
</table>
</file>

<file path=xl/tables/table2.xml><?xml version="1.0" encoding="utf-8"?>
<table xmlns="http://schemas.openxmlformats.org/spreadsheetml/2006/main" id="4" name="Table_6133" displayName="Table_6133" ref="D5:D20" headerRowCount="0" totalsRowCount="1">
  <tableColumns count="1">
    <tableColumn id="1" name="Column1" dataDxfId="2" totalsRowLabel="21">
      <calculatedColumnFormula>(21/12)*2</calculatedColumnFormula>
    </tableColumn>
  </tableColumns>
  <tableStyleInfo name="LEAVE TRACKER 2021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zoomScale="70" zoomScaleNormal="70" topLeftCell="A11" workbookViewId="0">
      <selection activeCell="DL20" sqref="DL20"/>
    </sheetView>
  </sheetViews>
  <sheetFormatPr defaultColWidth="9" defaultRowHeight="14"/>
  <cols>
    <col min="2" max="2" width="19" customWidth="1"/>
  </cols>
  <sheetData>
    <row r="1" ht="14.75"/>
    <row r="2" ht="15.75" spans="1:20">
      <c r="A2" s="107"/>
      <c r="B2" s="108"/>
      <c r="C2" s="109" t="s">
        <v>0</v>
      </c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1"/>
      <c r="P2" s="111"/>
      <c r="Q2" s="111"/>
      <c r="R2" s="111"/>
      <c r="S2" s="112"/>
      <c r="T2" s="112"/>
    </row>
    <row r="3" ht="15.75" spans="1:20">
      <c r="A3" s="113"/>
      <c r="B3" s="114"/>
      <c r="C3" s="115"/>
      <c r="D3" s="115"/>
      <c r="E3" s="115"/>
      <c r="F3" s="115"/>
      <c r="G3" s="116" t="s">
        <v>1</v>
      </c>
      <c r="H3" s="117"/>
      <c r="I3" s="117"/>
      <c r="J3" s="117"/>
      <c r="K3" s="117"/>
      <c r="L3" s="115"/>
      <c r="M3" s="115"/>
      <c r="N3" s="115"/>
      <c r="O3" s="115"/>
      <c r="P3" s="115"/>
      <c r="Q3" s="115"/>
      <c r="R3" s="115"/>
      <c r="S3" s="118"/>
      <c r="T3" s="118"/>
    </row>
    <row r="4" ht="25.75" spans="1:20">
      <c r="A4" s="119"/>
      <c r="B4" s="64" t="s">
        <v>2</v>
      </c>
      <c r="C4" s="65" t="s">
        <v>3</v>
      </c>
      <c r="D4" s="66" t="s">
        <v>4</v>
      </c>
      <c r="E4" s="66" t="s">
        <v>5</v>
      </c>
      <c r="F4" s="120" t="s">
        <v>6</v>
      </c>
      <c r="G4" s="121" t="s">
        <v>7</v>
      </c>
      <c r="H4" s="122" t="s">
        <v>8</v>
      </c>
      <c r="I4" s="122" t="s">
        <v>9</v>
      </c>
      <c r="J4" s="122" t="s">
        <v>10</v>
      </c>
      <c r="K4" s="122" t="s">
        <v>11</v>
      </c>
      <c r="L4" s="122" t="s">
        <v>12</v>
      </c>
      <c r="M4" s="122" t="s">
        <v>13</v>
      </c>
      <c r="N4" s="122" t="s">
        <v>14</v>
      </c>
      <c r="O4" s="122" t="s">
        <v>15</v>
      </c>
      <c r="P4" s="122" t="s">
        <v>16</v>
      </c>
      <c r="Q4" s="122" t="s">
        <v>17</v>
      </c>
      <c r="R4" s="122" t="s">
        <v>18</v>
      </c>
      <c r="S4" s="123" t="s">
        <v>19</v>
      </c>
      <c r="T4" s="124" t="s">
        <v>20</v>
      </c>
    </row>
    <row r="5" spans="1:20">
      <c r="A5" s="67">
        <v>1</v>
      </c>
      <c r="B5" t="s">
        <v>21</v>
      </c>
      <c r="C5" s="125">
        <v>5</v>
      </c>
      <c r="D5" s="126">
        <v>21</v>
      </c>
      <c r="E5" s="126">
        <f>SUM(C5:D5)</f>
        <v>26</v>
      </c>
      <c r="F5" s="126"/>
      <c r="G5" s="126"/>
      <c r="H5" s="126"/>
      <c r="I5" s="127"/>
      <c r="J5" s="127"/>
      <c r="K5" s="126"/>
      <c r="L5" s="126"/>
      <c r="M5" s="126"/>
      <c r="N5" s="126"/>
      <c r="O5" s="126"/>
      <c r="P5" s="126"/>
      <c r="Q5" s="126"/>
      <c r="R5" s="126">
        <f>SUM(F5:Q5)</f>
        <v>0</v>
      </c>
      <c r="S5" s="128">
        <f>E5-R5</f>
        <v>26</v>
      </c>
      <c r="T5" s="129"/>
    </row>
    <row r="6" spans="1:20">
      <c r="A6" s="67">
        <f>SUM(A5+1)</f>
        <v>2</v>
      </c>
      <c r="B6" t="s">
        <v>22</v>
      </c>
      <c r="C6" s="68">
        <v>0</v>
      </c>
      <c r="D6" s="69">
        <v>21</v>
      </c>
      <c r="E6" s="69">
        <f>SUM(C6:D6)</f>
        <v>21</v>
      </c>
      <c r="F6" s="69"/>
      <c r="G6" s="69"/>
      <c r="H6" s="69"/>
      <c r="I6" s="130"/>
      <c r="J6" s="130"/>
      <c r="K6" s="69"/>
      <c r="L6" s="69"/>
      <c r="M6" s="69"/>
      <c r="N6" s="69"/>
      <c r="O6" s="69"/>
      <c r="P6" s="69"/>
      <c r="Q6" s="69"/>
      <c r="R6" s="69">
        <f t="shared" ref="R6:R40" si="0">SUM(F6:Q6)</f>
        <v>0</v>
      </c>
      <c r="S6" s="131">
        <f t="shared" ref="S6:S40" si="1">E6-R6</f>
        <v>21</v>
      </c>
      <c r="T6" s="132"/>
    </row>
    <row r="7" spans="1:20">
      <c r="A7" s="67">
        <f t="shared" ref="A7:A24" si="2">SUM(A6+1)</f>
        <v>3</v>
      </c>
      <c r="B7" t="s">
        <v>23</v>
      </c>
      <c r="C7" s="68">
        <v>5</v>
      </c>
      <c r="D7" s="69">
        <v>21</v>
      </c>
      <c r="E7" s="69">
        <f t="shared" ref="E7:E17" si="3">SUM(C7:D7)</f>
        <v>26</v>
      </c>
      <c r="F7" s="69"/>
      <c r="G7" s="69"/>
      <c r="H7" s="69">
        <v>5</v>
      </c>
      <c r="I7" s="130"/>
      <c r="J7" s="130"/>
      <c r="K7" s="69"/>
      <c r="L7" s="69"/>
      <c r="M7" s="69"/>
      <c r="N7" s="69"/>
      <c r="O7" s="69"/>
      <c r="P7" s="69"/>
      <c r="Q7" s="69"/>
      <c r="R7" s="69">
        <f t="shared" si="0"/>
        <v>5</v>
      </c>
      <c r="S7" s="131">
        <f t="shared" si="1"/>
        <v>21</v>
      </c>
      <c r="T7" s="132"/>
    </row>
    <row r="8" spans="1:20">
      <c r="A8" s="67">
        <f t="shared" si="2"/>
        <v>4</v>
      </c>
      <c r="B8" t="s">
        <v>24</v>
      </c>
      <c r="C8" s="68">
        <v>5</v>
      </c>
      <c r="D8" s="69">
        <v>21</v>
      </c>
      <c r="E8" s="69">
        <f t="shared" si="3"/>
        <v>26</v>
      </c>
      <c r="F8" s="69"/>
      <c r="G8" s="69">
        <v>10</v>
      </c>
      <c r="H8" s="69"/>
      <c r="I8" s="69"/>
      <c r="J8" s="130"/>
      <c r="K8" s="69"/>
      <c r="L8" s="69"/>
      <c r="M8" s="69"/>
      <c r="N8" s="69"/>
      <c r="O8" s="69"/>
      <c r="P8" s="69"/>
      <c r="Q8" s="69"/>
      <c r="R8" s="69">
        <f t="shared" si="0"/>
        <v>10</v>
      </c>
      <c r="S8" s="131">
        <f t="shared" si="1"/>
        <v>16</v>
      </c>
      <c r="T8" s="132"/>
    </row>
    <row r="9" customHeight="1" spans="1:20">
      <c r="A9" s="67">
        <f t="shared" si="2"/>
        <v>5</v>
      </c>
      <c r="B9" t="s">
        <v>25</v>
      </c>
      <c r="C9" s="68">
        <v>5</v>
      </c>
      <c r="D9" s="69">
        <v>21</v>
      </c>
      <c r="E9" s="69">
        <f t="shared" si="3"/>
        <v>26</v>
      </c>
      <c r="F9" s="69"/>
      <c r="G9" s="69"/>
      <c r="H9" s="69">
        <v>11</v>
      </c>
      <c r="I9" s="130"/>
      <c r="J9" s="130"/>
      <c r="K9" s="69"/>
      <c r="L9" s="69"/>
      <c r="M9" s="69"/>
      <c r="N9" s="69"/>
      <c r="O9" s="69"/>
      <c r="P9" s="69"/>
      <c r="Q9" s="69"/>
      <c r="R9" s="69">
        <f t="shared" si="0"/>
        <v>11</v>
      </c>
      <c r="S9" s="131">
        <f t="shared" si="1"/>
        <v>15</v>
      </c>
      <c r="T9" s="132"/>
    </row>
    <row r="10" hidden="1" spans="1:20">
      <c r="A10" s="67">
        <f t="shared" si="2"/>
        <v>6</v>
      </c>
      <c r="B10" t="s">
        <v>26</v>
      </c>
      <c r="C10" s="68">
        <v>0</v>
      </c>
      <c r="D10" s="69">
        <v>21</v>
      </c>
      <c r="E10" s="69">
        <f t="shared" si="3"/>
        <v>21</v>
      </c>
      <c r="F10" s="69"/>
      <c r="G10" s="69"/>
      <c r="H10" s="69">
        <v>4</v>
      </c>
      <c r="I10" s="130"/>
      <c r="J10" s="130"/>
      <c r="K10" s="69"/>
      <c r="L10" s="69">
        <v>1</v>
      </c>
      <c r="M10" s="69">
        <v>3</v>
      </c>
      <c r="N10" s="69"/>
      <c r="O10" s="69"/>
      <c r="P10" s="69"/>
      <c r="Q10" s="69"/>
      <c r="R10" s="69">
        <f t="shared" si="0"/>
        <v>8</v>
      </c>
      <c r="S10" s="131">
        <f t="shared" si="1"/>
        <v>13</v>
      </c>
      <c r="T10" s="132"/>
    </row>
    <row r="11" spans="1:20">
      <c r="A11" s="67">
        <f t="shared" si="2"/>
        <v>7</v>
      </c>
      <c r="B11" t="s">
        <v>27</v>
      </c>
      <c r="C11" s="68">
        <v>0</v>
      </c>
      <c r="D11" s="69">
        <v>21</v>
      </c>
      <c r="E11" s="69">
        <f t="shared" si="3"/>
        <v>21</v>
      </c>
      <c r="F11" s="69"/>
      <c r="G11" s="69">
        <v>1</v>
      </c>
      <c r="H11" s="69"/>
      <c r="I11" s="130"/>
      <c r="J11" s="130"/>
      <c r="K11" s="69"/>
      <c r="L11" s="69"/>
      <c r="M11" s="69"/>
      <c r="N11" s="69"/>
      <c r="O11" s="69"/>
      <c r="P11" s="69"/>
      <c r="Q11" s="69"/>
      <c r="R11" s="69">
        <f t="shared" si="0"/>
        <v>1</v>
      </c>
      <c r="S11" s="131">
        <f t="shared" si="1"/>
        <v>20</v>
      </c>
      <c r="T11" s="132"/>
    </row>
    <row r="12" spans="1:20">
      <c r="A12" s="67">
        <f t="shared" si="2"/>
        <v>8</v>
      </c>
      <c r="B12" t="s">
        <v>28</v>
      </c>
      <c r="C12" s="68">
        <v>5</v>
      </c>
      <c r="D12" s="69">
        <v>21</v>
      </c>
      <c r="E12" s="69">
        <f t="shared" si="3"/>
        <v>26</v>
      </c>
      <c r="F12" s="69"/>
      <c r="G12" s="69"/>
      <c r="H12" s="69"/>
      <c r="I12" s="130"/>
      <c r="J12" s="130"/>
      <c r="K12" s="69"/>
      <c r="L12" s="69"/>
      <c r="M12" s="69"/>
      <c r="N12" s="69"/>
      <c r="O12" s="69"/>
      <c r="P12" s="69"/>
      <c r="Q12" s="69"/>
      <c r="R12" s="69">
        <f t="shared" si="0"/>
        <v>0</v>
      </c>
      <c r="S12" s="131">
        <f t="shared" si="1"/>
        <v>26</v>
      </c>
      <c r="T12" s="132"/>
    </row>
    <row r="13" spans="1:20">
      <c r="A13" s="67">
        <f t="shared" si="2"/>
        <v>9</v>
      </c>
      <c r="B13" t="s">
        <v>29</v>
      </c>
      <c r="C13" s="68">
        <v>5</v>
      </c>
      <c r="D13" s="69">
        <v>21</v>
      </c>
      <c r="E13" s="69">
        <f t="shared" si="3"/>
        <v>26</v>
      </c>
      <c r="F13" s="69"/>
      <c r="G13" s="69"/>
      <c r="H13" s="69"/>
      <c r="I13" s="130"/>
      <c r="J13" s="130"/>
      <c r="K13" s="69"/>
      <c r="L13" s="69"/>
      <c r="M13" s="69"/>
      <c r="N13" s="69"/>
      <c r="O13" s="69"/>
      <c r="P13" s="69"/>
      <c r="Q13" s="69"/>
      <c r="R13" s="69">
        <f t="shared" si="0"/>
        <v>0</v>
      </c>
      <c r="S13" s="131">
        <f t="shared" si="1"/>
        <v>26</v>
      </c>
      <c r="T13" s="132">
        <v>2</v>
      </c>
    </row>
    <row r="14" spans="1:20">
      <c r="A14" s="67">
        <f t="shared" si="2"/>
        <v>10</v>
      </c>
      <c r="B14" t="s">
        <v>30</v>
      </c>
      <c r="C14" s="68">
        <v>5</v>
      </c>
      <c r="D14" s="69">
        <v>21</v>
      </c>
      <c r="E14" s="69">
        <f t="shared" si="3"/>
        <v>26</v>
      </c>
      <c r="F14" s="69"/>
      <c r="G14" s="69"/>
      <c r="H14" s="69"/>
      <c r="I14" s="130"/>
      <c r="J14" s="130"/>
      <c r="K14" s="69"/>
      <c r="L14" s="69"/>
      <c r="M14" s="69"/>
      <c r="N14" s="69"/>
      <c r="O14" s="69"/>
      <c r="P14" s="69"/>
      <c r="Q14" s="69"/>
      <c r="R14" s="69">
        <f t="shared" si="0"/>
        <v>0</v>
      </c>
      <c r="S14" s="131">
        <f t="shared" si="1"/>
        <v>26</v>
      </c>
      <c r="T14" s="132"/>
    </row>
    <row r="15" spans="1:20">
      <c r="A15" s="67">
        <f t="shared" si="2"/>
        <v>11</v>
      </c>
      <c r="B15" t="s">
        <v>31</v>
      </c>
      <c r="C15" s="68">
        <v>4</v>
      </c>
      <c r="D15" s="69">
        <v>21</v>
      </c>
      <c r="E15" s="69">
        <f t="shared" si="3"/>
        <v>25</v>
      </c>
      <c r="F15" s="69"/>
      <c r="G15" s="69"/>
      <c r="H15" s="69"/>
      <c r="I15" s="130"/>
      <c r="J15" s="130"/>
      <c r="K15" s="69"/>
      <c r="L15" s="69"/>
      <c r="M15" s="69"/>
      <c r="N15" s="69"/>
      <c r="O15" s="69"/>
      <c r="P15" s="69"/>
      <c r="Q15" s="69"/>
      <c r="R15" s="69">
        <f t="shared" si="0"/>
        <v>0</v>
      </c>
      <c r="S15" s="131">
        <f t="shared" si="1"/>
        <v>25</v>
      </c>
      <c r="T15" s="132"/>
    </row>
    <row r="16" spans="1:20">
      <c r="A16" s="67">
        <f t="shared" si="2"/>
        <v>12</v>
      </c>
      <c r="B16" t="s">
        <v>32</v>
      </c>
      <c r="C16" s="68">
        <v>5</v>
      </c>
      <c r="D16" s="69">
        <v>21</v>
      </c>
      <c r="E16" s="69">
        <f t="shared" si="3"/>
        <v>26</v>
      </c>
      <c r="F16" s="69"/>
      <c r="G16" s="69"/>
      <c r="H16" s="69"/>
      <c r="I16" s="130"/>
      <c r="J16" s="130"/>
      <c r="K16" s="69"/>
      <c r="L16" s="69"/>
      <c r="M16" s="69"/>
      <c r="N16" s="69"/>
      <c r="O16" s="69"/>
      <c r="P16" s="69"/>
      <c r="Q16" s="69"/>
      <c r="R16" s="69">
        <f t="shared" si="0"/>
        <v>0</v>
      </c>
      <c r="S16" s="131">
        <f t="shared" si="1"/>
        <v>26</v>
      </c>
      <c r="T16" s="132"/>
    </row>
    <row r="17" spans="1:20">
      <c r="A17" s="67">
        <f t="shared" si="2"/>
        <v>13</v>
      </c>
      <c r="B17" t="s">
        <v>33</v>
      </c>
      <c r="C17" s="68">
        <v>5</v>
      </c>
      <c r="D17" s="69">
        <v>21</v>
      </c>
      <c r="E17" s="69">
        <f t="shared" si="3"/>
        <v>26</v>
      </c>
      <c r="F17" s="69"/>
      <c r="G17" s="130"/>
      <c r="H17" s="130"/>
      <c r="I17" s="130"/>
      <c r="J17" s="130"/>
      <c r="K17" s="130"/>
      <c r="L17" s="130"/>
      <c r="M17" s="69"/>
      <c r="N17" s="130"/>
      <c r="O17" s="133"/>
      <c r="P17" s="133"/>
      <c r="Q17" s="133"/>
      <c r="R17" s="69">
        <f t="shared" si="0"/>
        <v>0</v>
      </c>
      <c r="S17" s="131">
        <f t="shared" si="1"/>
        <v>26</v>
      </c>
      <c r="T17" s="132"/>
    </row>
    <row r="18" hidden="1" spans="1:20">
      <c r="A18" s="67">
        <f t="shared" si="2"/>
        <v>14</v>
      </c>
      <c r="B18" t="s">
        <v>34</v>
      </c>
      <c r="C18" s="68">
        <v>0</v>
      </c>
      <c r="D18" s="69">
        <v>21</v>
      </c>
      <c r="E18" s="69">
        <v>26</v>
      </c>
      <c r="F18" s="69"/>
      <c r="G18" s="69"/>
      <c r="H18" s="69"/>
      <c r="I18" s="69">
        <v>10</v>
      </c>
      <c r="J18" s="69"/>
      <c r="K18" s="69">
        <v>1</v>
      </c>
      <c r="L18" s="69">
        <v>10</v>
      </c>
      <c r="M18" s="69"/>
      <c r="N18" s="130"/>
      <c r="O18" s="133"/>
      <c r="P18" s="133"/>
      <c r="Q18" s="133"/>
      <c r="R18" s="69">
        <f t="shared" si="0"/>
        <v>21</v>
      </c>
      <c r="S18" s="131">
        <f t="shared" si="1"/>
        <v>5</v>
      </c>
      <c r="T18" s="132"/>
    </row>
    <row r="19" spans="1:20">
      <c r="A19" s="67">
        <f t="shared" si="2"/>
        <v>15</v>
      </c>
      <c r="B19" t="s">
        <v>35</v>
      </c>
      <c r="C19" s="68">
        <v>5</v>
      </c>
      <c r="D19" s="69">
        <v>21</v>
      </c>
      <c r="E19" s="69">
        <f>SUM(C19:D19)</f>
        <v>26</v>
      </c>
      <c r="F19" s="69">
        <v>2</v>
      </c>
      <c r="G19" s="69"/>
      <c r="H19" s="69"/>
      <c r="I19" s="69"/>
      <c r="J19" s="69"/>
      <c r="K19" s="69"/>
      <c r="L19" s="69"/>
      <c r="M19" s="69"/>
      <c r="N19" s="69"/>
      <c r="O19" s="133"/>
      <c r="P19" s="133"/>
      <c r="Q19" s="133"/>
      <c r="R19" s="69">
        <f t="shared" si="0"/>
        <v>2</v>
      </c>
      <c r="S19" s="131">
        <f t="shared" si="1"/>
        <v>24</v>
      </c>
      <c r="T19" s="132">
        <v>2</v>
      </c>
    </row>
    <row r="20" spans="1:20">
      <c r="A20" s="67">
        <f t="shared" si="2"/>
        <v>16</v>
      </c>
      <c r="B20" t="s">
        <v>36</v>
      </c>
      <c r="C20" s="68">
        <v>5</v>
      </c>
      <c r="D20" s="69" t="s">
        <v>37</v>
      </c>
      <c r="E20" s="69">
        <f>SUM(C20:D20)</f>
        <v>5</v>
      </c>
      <c r="F20" s="69"/>
      <c r="G20" s="69"/>
      <c r="H20" s="69"/>
      <c r="I20" s="69"/>
      <c r="J20" s="69"/>
      <c r="K20" s="69"/>
      <c r="L20" s="69"/>
      <c r="M20" s="69"/>
      <c r="N20" s="69"/>
      <c r="O20" s="133"/>
      <c r="P20" s="133"/>
      <c r="Q20" s="133"/>
      <c r="R20" s="69">
        <f t="shared" si="0"/>
        <v>0</v>
      </c>
      <c r="S20" s="131">
        <f t="shared" si="1"/>
        <v>5</v>
      </c>
      <c r="T20" s="132"/>
    </row>
    <row r="21" spans="1:20">
      <c r="A21" s="67">
        <f t="shared" si="2"/>
        <v>17</v>
      </c>
      <c r="B21" t="s">
        <v>38</v>
      </c>
      <c r="C21" s="68">
        <v>5</v>
      </c>
      <c r="D21" s="69">
        <v>21</v>
      </c>
      <c r="E21" s="69">
        <f t="shared" ref="E21:E25" si="4">SUM(C21:D21)</f>
        <v>26</v>
      </c>
      <c r="F21" s="69"/>
      <c r="G21" s="69"/>
      <c r="H21" s="69"/>
      <c r="I21" s="69"/>
      <c r="J21" s="69"/>
      <c r="K21" s="69"/>
      <c r="L21" s="69"/>
      <c r="M21" s="69"/>
      <c r="N21" s="69"/>
      <c r="O21" s="133"/>
      <c r="P21" s="133"/>
      <c r="Q21" s="133"/>
      <c r="R21" s="69">
        <f t="shared" si="0"/>
        <v>0</v>
      </c>
      <c r="S21" s="131">
        <f t="shared" si="1"/>
        <v>26</v>
      </c>
      <c r="T21" s="132"/>
    </row>
    <row r="22" hidden="1" spans="1:20">
      <c r="A22" s="67">
        <f t="shared" si="2"/>
        <v>18</v>
      </c>
      <c r="B22" s="134" t="s">
        <v>39</v>
      </c>
      <c r="C22" s="135">
        <v>0</v>
      </c>
      <c r="D22" s="69">
        <v>21</v>
      </c>
      <c r="E22" s="136">
        <f t="shared" si="4"/>
        <v>21</v>
      </c>
      <c r="F22" s="136">
        <v>2</v>
      </c>
      <c r="G22" s="136"/>
      <c r="H22" s="136"/>
      <c r="I22" s="136"/>
      <c r="J22" s="136"/>
      <c r="K22" s="136"/>
      <c r="L22" s="136"/>
      <c r="M22" s="136"/>
      <c r="N22" s="136"/>
      <c r="O22" s="137"/>
      <c r="P22" s="137"/>
      <c r="Q22" s="137"/>
      <c r="R22" s="138">
        <f t="shared" si="0"/>
        <v>2</v>
      </c>
      <c r="S22" s="139">
        <f t="shared" si="1"/>
        <v>19</v>
      </c>
      <c r="T22" s="140"/>
    </row>
    <row r="23" customHeight="1" spans="1:20">
      <c r="A23" s="67">
        <f t="shared" si="2"/>
        <v>19</v>
      </c>
      <c r="B23" t="s">
        <v>40</v>
      </c>
      <c r="C23" s="70">
        <v>5</v>
      </c>
      <c r="D23" s="69">
        <v>21</v>
      </c>
      <c r="E23" s="69">
        <f t="shared" si="4"/>
        <v>26</v>
      </c>
      <c r="F23" s="69"/>
      <c r="G23" s="69">
        <v>5</v>
      </c>
      <c r="H23" s="69"/>
      <c r="I23" s="130"/>
      <c r="J23" s="130"/>
      <c r="K23" s="69"/>
      <c r="L23" s="69"/>
      <c r="M23" s="69"/>
      <c r="N23" s="69"/>
      <c r="O23" s="69"/>
      <c r="P23" s="69"/>
      <c r="Q23" s="69"/>
      <c r="R23" s="69">
        <f t="shared" si="0"/>
        <v>5</v>
      </c>
      <c r="S23" s="131">
        <f t="shared" si="1"/>
        <v>21</v>
      </c>
      <c r="T23" s="132"/>
    </row>
    <row r="24" spans="1:20">
      <c r="A24" s="67">
        <f t="shared" si="2"/>
        <v>20</v>
      </c>
      <c r="B24" t="s">
        <v>41</v>
      </c>
      <c r="C24" s="70">
        <v>0</v>
      </c>
      <c r="D24" s="136">
        <v>21</v>
      </c>
      <c r="E24" s="69">
        <f t="shared" si="4"/>
        <v>21</v>
      </c>
      <c r="F24" s="69"/>
      <c r="G24" s="69"/>
      <c r="H24" s="69"/>
      <c r="I24" s="130"/>
      <c r="J24" s="130"/>
      <c r="K24" s="69"/>
      <c r="L24" s="69"/>
      <c r="M24" s="69"/>
      <c r="N24" s="69"/>
      <c r="O24" s="69"/>
      <c r="P24" s="69"/>
      <c r="Q24" s="69"/>
      <c r="R24" s="69">
        <f t="shared" si="0"/>
        <v>0</v>
      </c>
      <c r="S24" s="131">
        <f t="shared" si="1"/>
        <v>21</v>
      </c>
      <c r="T24" s="132">
        <v>1</v>
      </c>
    </row>
    <row r="25" spans="1:20">
      <c r="A25" s="67">
        <f t="shared" ref="A25:A31" si="5">SUM(A24+1)</f>
        <v>21</v>
      </c>
      <c r="B25" t="s">
        <v>42</v>
      </c>
      <c r="C25" s="70">
        <v>0</v>
      </c>
      <c r="D25" s="69">
        <v>21</v>
      </c>
      <c r="E25" s="69">
        <f t="shared" si="4"/>
        <v>21</v>
      </c>
      <c r="F25" s="69"/>
      <c r="G25" s="69"/>
      <c r="H25" s="69"/>
      <c r="I25" s="130"/>
      <c r="J25" s="130"/>
      <c r="K25" s="69"/>
      <c r="L25" s="69"/>
      <c r="M25" s="69"/>
      <c r="N25" s="69"/>
      <c r="O25" s="69"/>
      <c r="P25" s="69"/>
      <c r="Q25" s="69"/>
      <c r="R25" s="69">
        <f t="shared" si="0"/>
        <v>0</v>
      </c>
      <c r="S25" s="131">
        <f t="shared" si="1"/>
        <v>21</v>
      </c>
      <c r="T25" s="132"/>
    </row>
    <row r="26" spans="1:20">
      <c r="A26" s="67">
        <f t="shared" si="5"/>
        <v>22</v>
      </c>
      <c r="B26" t="s">
        <v>43</v>
      </c>
      <c r="C26" s="70">
        <v>5</v>
      </c>
      <c r="D26" s="69">
        <v>21</v>
      </c>
      <c r="E26" s="69">
        <f t="shared" ref="E26:E29" si="6">SUM(C26:D26)</f>
        <v>26</v>
      </c>
      <c r="F26" s="69"/>
      <c r="G26" s="69">
        <v>4</v>
      </c>
      <c r="H26" s="69"/>
      <c r="I26" s="130"/>
      <c r="J26" s="130"/>
      <c r="K26" s="69"/>
      <c r="L26" s="69"/>
      <c r="M26" s="69"/>
      <c r="N26" s="69"/>
      <c r="O26" s="69"/>
      <c r="P26" s="69"/>
      <c r="Q26" s="69"/>
      <c r="R26" s="69">
        <f t="shared" si="0"/>
        <v>4</v>
      </c>
      <c r="S26" s="131">
        <f t="shared" si="1"/>
        <v>22</v>
      </c>
      <c r="T26" s="132"/>
    </row>
    <row r="27" spans="1:20">
      <c r="A27" s="67">
        <f t="shared" si="5"/>
        <v>23</v>
      </c>
      <c r="B27" t="s">
        <v>44</v>
      </c>
      <c r="C27" s="70">
        <v>5</v>
      </c>
      <c r="D27" s="69">
        <v>21</v>
      </c>
      <c r="E27" s="69">
        <f t="shared" si="6"/>
        <v>26</v>
      </c>
      <c r="F27" s="69"/>
      <c r="G27" s="69"/>
      <c r="H27" s="69"/>
      <c r="I27" s="130"/>
      <c r="J27" s="130"/>
      <c r="K27" s="69"/>
      <c r="L27" s="69"/>
      <c r="M27" s="69"/>
      <c r="N27" s="69"/>
      <c r="O27" s="69"/>
      <c r="P27" s="69"/>
      <c r="Q27" s="69"/>
      <c r="R27" s="69">
        <f t="shared" si="0"/>
        <v>0</v>
      </c>
      <c r="S27" s="131">
        <f t="shared" si="1"/>
        <v>26</v>
      </c>
      <c r="T27" s="132"/>
    </row>
    <row r="28" ht="16" hidden="1" customHeight="1" spans="1:20">
      <c r="A28" s="67">
        <f t="shared" si="5"/>
        <v>24</v>
      </c>
      <c r="B28" t="s">
        <v>45</v>
      </c>
      <c r="C28" s="70">
        <v>0</v>
      </c>
      <c r="D28" s="69">
        <v>21</v>
      </c>
      <c r="E28" s="69">
        <f t="shared" si="6"/>
        <v>21</v>
      </c>
      <c r="F28" s="69"/>
      <c r="G28" s="69"/>
      <c r="H28" s="69"/>
      <c r="I28" s="130">
        <v>7</v>
      </c>
      <c r="J28" s="130"/>
      <c r="K28" s="69"/>
      <c r="L28" s="69"/>
      <c r="M28" s="69"/>
      <c r="N28" s="69"/>
      <c r="O28" s="69"/>
      <c r="P28" s="69"/>
      <c r="Q28" s="69"/>
      <c r="R28" s="69">
        <f t="shared" si="0"/>
        <v>7</v>
      </c>
      <c r="S28" s="131">
        <f t="shared" si="1"/>
        <v>14</v>
      </c>
      <c r="T28" s="132">
        <v>1</v>
      </c>
    </row>
    <row r="29" spans="1:20">
      <c r="A29" s="67">
        <f t="shared" si="5"/>
        <v>25</v>
      </c>
      <c r="B29" t="s">
        <v>46</v>
      </c>
      <c r="C29" s="70">
        <v>0</v>
      </c>
      <c r="D29" s="69">
        <v>21</v>
      </c>
      <c r="E29" s="69">
        <f t="shared" si="6"/>
        <v>21</v>
      </c>
      <c r="F29" s="69"/>
      <c r="G29" s="69"/>
      <c r="H29" s="69"/>
      <c r="I29" s="130"/>
      <c r="J29" s="130"/>
      <c r="K29" s="69"/>
      <c r="L29" s="69"/>
      <c r="M29" s="69"/>
      <c r="N29" s="69"/>
      <c r="O29" s="69"/>
      <c r="P29" s="69"/>
      <c r="Q29" s="69"/>
      <c r="R29" s="69">
        <f t="shared" si="0"/>
        <v>0</v>
      </c>
      <c r="S29" s="131">
        <f t="shared" si="1"/>
        <v>21</v>
      </c>
      <c r="T29" s="132"/>
    </row>
    <row r="30" spans="1:20">
      <c r="A30" s="67">
        <f t="shared" si="5"/>
        <v>26</v>
      </c>
      <c r="B30" t="s">
        <v>47</v>
      </c>
      <c r="C30" s="70">
        <v>5</v>
      </c>
      <c r="D30" s="69">
        <v>21</v>
      </c>
      <c r="E30" s="69">
        <f t="shared" ref="E30:E40" si="7">SUM(C30:D30)</f>
        <v>26</v>
      </c>
      <c r="F30" s="69"/>
      <c r="G30" s="69"/>
      <c r="H30" s="69"/>
      <c r="I30" s="130"/>
      <c r="J30" s="130"/>
      <c r="K30" s="69"/>
      <c r="L30" s="69"/>
      <c r="M30" s="69"/>
      <c r="N30" s="69"/>
      <c r="O30" s="69"/>
      <c r="P30" s="69"/>
      <c r="Q30" s="69"/>
      <c r="R30" s="69">
        <f t="shared" si="0"/>
        <v>0</v>
      </c>
      <c r="S30" s="131">
        <f t="shared" si="1"/>
        <v>26</v>
      </c>
      <c r="T30" s="132"/>
    </row>
    <row r="31" spans="1:20">
      <c r="A31" s="67">
        <f t="shared" si="5"/>
        <v>27</v>
      </c>
      <c r="B31" t="s">
        <v>48</v>
      </c>
      <c r="C31" s="70">
        <v>5</v>
      </c>
      <c r="D31" s="69">
        <v>21</v>
      </c>
      <c r="E31" s="69">
        <f t="shared" si="7"/>
        <v>26</v>
      </c>
      <c r="F31" s="69"/>
      <c r="G31" s="69"/>
      <c r="H31" s="69"/>
      <c r="I31" s="130"/>
      <c r="J31" s="130"/>
      <c r="K31" s="69"/>
      <c r="L31" s="69"/>
      <c r="M31" s="69"/>
      <c r="N31" s="69"/>
      <c r="O31" s="69"/>
      <c r="P31" s="69"/>
      <c r="Q31" s="69"/>
      <c r="R31" s="69">
        <f t="shared" si="0"/>
        <v>0</v>
      </c>
      <c r="S31" s="131">
        <f t="shared" si="1"/>
        <v>26</v>
      </c>
      <c r="T31" s="132">
        <v>2</v>
      </c>
    </row>
    <row r="32" spans="1:20">
      <c r="A32" s="141">
        <v>28</v>
      </c>
      <c r="B32" t="s">
        <v>49</v>
      </c>
      <c r="C32" s="70">
        <v>0</v>
      </c>
      <c r="D32" s="69">
        <v>21</v>
      </c>
      <c r="E32" s="69">
        <f t="shared" si="7"/>
        <v>21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69">
        <f t="shared" si="0"/>
        <v>0</v>
      </c>
      <c r="S32" s="131">
        <f t="shared" si="1"/>
        <v>21</v>
      </c>
      <c r="T32" s="42"/>
    </row>
    <row r="33" spans="1:20">
      <c r="A33" s="67">
        <f>SUM(A32+1)</f>
        <v>29</v>
      </c>
      <c r="B33" t="s">
        <v>50</v>
      </c>
      <c r="C33" s="70">
        <v>0</v>
      </c>
      <c r="D33" s="69">
        <v>21</v>
      </c>
      <c r="E33" s="69">
        <f t="shared" si="7"/>
        <v>21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69">
        <f t="shared" si="0"/>
        <v>0</v>
      </c>
      <c r="S33" s="131">
        <f t="shared" si="1"/>
        <v>21</v>
      </c>
      <c r="T33" s="42"/>
    </row>
    <row r="34" spans="1:20">
      <c r="A34" s="67">
        <f t="shared" ref="A34:A40" si="8">SUM(A33+1)</f>
        <v>30</v>
      </c>
      <c r="B34" t="s">
        <v>51</v>
      </c>
      <c r="C34" s="70">
        <v>0</v>
      </c>
      <c r="D34" s="69">
        <v>21</v>
      </c>
      <c r="E34" s="69">
        <f t="shared" si="7"/>
        <v>21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69">
        <f t="shared" si="0"/>
        <v>0</v>
      </c>
      <c r="S34" s="131">
        <f t="shared" si="1"/>
        <v>21</v>
      </c>
      <c r="T34" s="42"/>
    </row>
    <row r="35" spans="1:20">
      <c r="A35" s="67">
        <f t="shared" si="8"/>
        <v>31</v>
      </c>
      <c r="B35" t="s">
        <v>52</v>
      </c>
      <c r="C35" s="70">
        <v>0</v>
      </c>
      <c r="D35" s="69">
        <v>21</v>
      </c>
      <c r="E35" s="69">
        <f t="shared" si="7"/>
        <v>21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69">
        <f t="shared" si="0"/>
        <v>0</v>
      </c>
      <c r="S35" s="131">
        <f t="shared" si="1"/>
        <v>21</v>
      </c>
      <c r="T35" s="42"/>
    </row>
    <row r="36" spans="1:20">
      <c r="A36" s="67">
        <f t="shared" si="8"/>
        <v>32</v>
      </c>
      <c r="B36" t="s">
        <v>53</v>
      </c>
      <c r="C36" s="70">
        <v>0</v>
      </c>
      <c r="D36" s="69">
        <v>21</v>
      </c>
      <c r="E36" s="69">
        <f t="shared" si="7"/>
        <v>21</v>
      </c>
      <c r="F36" s="39"/>
      <c r="G36" s="91">
        <v>1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69">
        <f t="shared" si="0"/>
        <v>1</v>
      </c>
      <c r="S36" s="131">
        <f t="shared" si="1"/>
        <v>20</v>
      </c>
      <c r="T36" s="42"/>
    </row>
    <row r="37" spans="1:20">
      <c r="A37" s="67">
        <f t="shared" si="8"/>
        <v>33</v>
      </c>
      <c r="B37" t="s">
        <v>54</v>
      </c>
      <c r="C37" s="70">
        <v>0</v>
      </c>
      <c r="D37" s="69">
        <v>21</v>
      </c>
      <c r="E37" s="69">
        <f t="shared" si="7"/>
        <v>21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69">
        <f t="shared" si="0"/>
        <v>0</v>
      </c>
      <c r="S37" s="131">
        <f t="shared" si="1"/>
        <v>21</v>
      </c>
      <c r="T37" s="42"/>
    </row>
    <row r="38" spans="1:20">
      <c r="A38" s="67">
        <f t="shared" si="8"/>
        <v>34</v>
      </c>
      <c r="B38" t="s">
        <v>55</v>
      </c>
      <c r="C38" s="70">
        <v>0</v>
      </c>
      <c r="D38" s="69">
        <v>21</v>
      </c>
      <c r="E38" s="69">
        <f t="shared" si="7"/>
        <v>21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69">
        <f t="shared" si="0"/>
        <v>0</v>
      </c>
      <c r="S38" s="131">
        <f t="shared" si="1"/>
        <v>21</v>
      </c>
      <c r="T38" s="42"/>
    </row>
    <row r="39" spans="1:20">
      <c r="A39" s="67">
        <f t="shared" si="8"/>
        <v>35</v>
      </c>
      <c r="B39" t="s">
        <v>56</v>
      </c>
      <c r="C39" s="70">
        <v>0</v>
      </c>
      <c r="D39" s="69">
        <v>21</v>
      </c>
      <c r="E39" s="69">
        <f t="shared" si="7"/>
        <v>21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69">
        <f t="shared" si="0"/>
        <v>0</v>
      </c>
      <c r="S39" s="131">
        <f t="shared" si="1"/>
        <v>21</v>
      </c>
      <c r="T39" s="42"/>
    </row>
    <row r="40" ht="14.75" spans="1:20">
      <c r="A40" s="67">
        <f t="shared" si="8"/>
        <v>36</v>
      </c>
      <c r="B40" t="s">
        <v>57</v>
      </c>
      <c r="C40" s="142">
        <v>0</v>
      </c>
      <c r="D40" s="143">
        <v>21</v>
      </c>
      <c r="E40" s="69">
        <f t="shared" si="7"/>
        <v>21</v>
      </c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69">
        <f t="shared" si="0"/>
        <v>0</v>
      </c>
      <c r="S40" s="131">
        <f t="shared" si="1"/>
        <v>21</v>
      </c>
      <c r="T40" s="60"/>
    </row>
    <row r="41" spans="1:20">
      <c r="A41" s="67"/>
    </row>
    <row r="42" spans="1:20">
      <c r="A42" s="67"/>
    </row>
  </sheetData>
  <mergeCells count="2">
    <mergeCell ref="C2:N2"/>
    <mergeCell ref="G3:K3"/>
  </mergeCells>
  <pageMargins left="0.7" right="0.7" top="0.75" bottom="0.75" header="0.3" footer="0.3"/>
  <pageSetup paperSize="1" orientation="portrait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1" max="1" width="8.72727272727273" style="104"/>
    <col min="2" max="2" width="16.8181818181818" customWidth="1"/>
    <col min="3" max="3" width="11.7272727272727" customWidth="1"/>
    <col min="4" max="4" width="15" customWidth="1"/>
    <col min="5" max="5" width="13.9090909090909" customWidth="1"/>
    <col min="6" max="6" width="10.2727272727273" customWidth="1"/>
    <col min="7" max="7" width="8.81818181818182" customWidth="1"/>
    <col min="12" max="12" width="11.2727272727273" customWidth="1"/>
  </cols>
  <sheetData>
    <row r="2" ht="21.5" customHeight="1" spans="1:12">
      <c r="A2" s="71" t="s">
        <v>58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96" t="s">
        <v>67</v>
      </c>
      <c r="K3" s="106"/>
      <c r="L3" s="97"/>
    </row>
    <row r="4" spans="1:12">
      <c r="A4" s="105">
        <v>5</v>
      </c>
      <c r="B4" s="39" t="s">
        <v>22</v>
      </c>
      <c r="C4" s="39" t="s">
        <v>68</v>
      </c>
      <c r="D4" s="39"/>
      <c r="E4" s="39"/>
      <c r="F4" s="39">
        <v>21</v>
      </c>
      <c r="G4" s="39">
        <v>0</v>
      </c>
      <c r="H4" s="39">
        <f>F4+G4</f>
        <v>21</v>
      </c>
      <c r="J4" s="89" t="s">
        <v>69</v>
      </c>
      <c r="K4" s="100"/>
      <c r="L4" s="89" t="s">
        <v>70</v>
      </c>
    </row>
    <row r="5" spans="1:12">
      <c r="A5" s="105"/>
      <c r="B5" s="39"/>
      <c r="C5" s="39"/>
      <c r="D5" s="79"/>
      <c r="E5" s="79"/>
      <c r="F5" s="39"/>
      <c r="G5" s="39"/>
      <c r="H5" s="39"/>
      <c r="J5" s="100"/>
      <c r="K5" s="100"/>
      <c r="L5" s="100"/>
    </row>
    <row r="6" spans="1:12">
      <c r="A6" s="105"/>
      <c r="B6" s="39"/>
      <c r="C6" s="39"/>
      <c r="D6" s="80"/>
      <c r="E6" s="80"/>
      <c r="F6" s="39"/>
      <c r="G6" s="39"/>
      <c r="H6" s="39"/>
      <c r="J6" s="100"/>
      <c r="K6" s="100"/>
      <c r="L6" s="100"/>
    </row>
  </sheetData>
  <mergeCells count="2">
    <mergeCell ref="A2:D2"/>
    <mergeCell ref="J3:L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7"/>
  <sheetViews>
    <sheetView topLeftCell="A2" workbookViewId="0">
      <selection activeCell="DL20" sqref="DL20"/>
    </sheetView>
  </sheetViews>
  <sheetFormatPr defaultColWidth="9" defaultRowHeight="14" outlineLevelRow="6"/>
  <cols>
    <col min="1" max="1" width="8.72727272727273" style="104"/>
    <col min="2" max="2" width="10.7272727272727" customWidth="1"/>
    <col min="3" max="3" width="10.8181818181818" customWidth="1"/>
    <col min="4" max="4" width="14.0909090909091" customWidth="1"/>
    <col min="5" max="5" width="15.1818181818182" customWidth="1"/>
    <col min="6" max="6" width="11.7272727272727" customWidth="1"/>
    <col min="7" max="7" width="11.8181818181818" customWidth="1"/>
    <col min="10" max="10" width="11.1818181818182" customWidth="1"/>
    <col min="11" max="11" width="10.1818181818182" customWidth="1"/>
  </cols>
  <sheetData>
    <row r="2" ht="22.5" customHeight="1" spans="1:13">
      <c r="A2" s="71" t="s">
        <v>71</v>
      </c>
      <c r="B2" s="71"/>
      <c r="C2" s="71"/>
      <c r="D2" s="71"/>
      <c r="E2" s="71"/>
    </row>
    <row r="3" s="82" customFormat="1" ht="28" spans="1:13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  <c r="M3" s="76"/>
    </row>
    <row r="4" spans="1:13">
      <c r="A4" s="105">
        <v>7</v>
      </c>
      <c r="B4" s="39" t="s">
        <v>72</v>
      </c>
      <c r="C4" s="39" t="s">
        <v>73</v>
      </c>
      <c r="D4" s="39"/>
      <c r="E4" s="39"/>
      <c r="F4" s="39">
        <v>21</v>
      </c>
      <c r="G4" s="39">
        <v>5</v>
      </c>
      <c r="H4" s="39">
        <f>F4+G4</f>
        <v>26</v>
      </c>
      <c r="J4" s="7" t="s">
        <v>74</v>
      </c>
      <c r="K4" s="7"/>
      <c r="L4" s="7" t="s">
        <v>70</v>
      </c>
      <c r="M4" s="7"/>
    </row>
    <row r="5" spans="1:13">
      <c r="A5" s="105"/>
      <c r="B5" s="39"/>
      <c r="C5" s="39"/>
      <c r="D5" s="79">
        <v>46090</v>
      </c>
      <c r="E5" s="79">
        <v>46094</v>
      </c>
      <c r="F5" s="39">
        <v>5</v>
      </c>
      <c r="G5" s="39"/>
      <c r="H5" s="39">
        <f>H4-F5</f>
        <v>21</v>
      </c>
      <c r="J5" s="100"/>
      <c r="K5" s="100"/>
      <c r="L5" s="39"/>
      <c r="M5" s="39"/>
    </row>
    <row r="6" spans="1:13">
      <c r="A6" s="105"/>
      <c r="B6" s="39"/>
      <c r="C6" s="39"/>
      <c r="D6" s="80"/>
      <c r="E6" s="80"/>
      <c r="F6" s="39"/>
      <c r="G6" s="39"/>
      <c r="H6" s="39"/>
      <c r="J6" s="100"/>
      <c r="K6" s="100"/>
      <c r="L6" s="39"/>
      <c r="M6" s="39"/>
    </row>
    <row r="7" spans="1:13">
      <c r="A7" s="105"/>
      <c r="B7" s="39"/>
      <c r="C7" s="39"/>
      <c r="D7" s="80"/>
      <c r="E7" s="80"/>
      <c r="F7" s="39"/>
      <c r="G7" s="39"/>
      <c r="H7" s="39"/>
    </row>
  </sheetData>
  <mergeCells count="4">
    <mergeCell ref="A2:D2"/>
    <mergeCell ref="J3:K3"/>
    <mergeCell ref="J4:K4"/>
    <mergeCell ref="L4:M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7"/>
  <sheetViews>
    <sheetView workbookViewId="0">
      <selection activeCell="DL20" sqref="DL20"/>
    </sheetView>
  </sheetViews>
  <sheetFormatPr defaultColWidth="9" defaultRowHeight="14" outlineLevelRow="6"/>
  <cols>
    <col min="2" max="2" width="14.4545454545455" customWidth="1"/>
    <col min="3" max="3" width="11.4545454545455" customWidth="1"/>
    <col min="4" max="4" width="13.1818181818182" customWidth="1"/>
    <col min="5" max="5" width="13.2727272727273" customWidth="1"/>
    <col min="6" max="6" width="10.8181818181818" customWidth="1"/>
    <col min="7" max="7" width="10.9090909090909" customWidth="1"/>
    <col min="8" max="9" width="8.72727272727273" customWidth="1"/>
  </cols>
  <sheetData>
    <row r="2" spans="1:12">
      <c r="A2" s="71" t="s">
        <v>75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76</v>
      </c>
      <c r="B4" s="39" t="s">
        <v>24</v>
      </c>
      <c r="C4" s="39" t="s">
        <v>68</v>
      </c>
      <c r="D4" s="39"/>
      <c r="E4" s="39"/>
      <c r="F4" s="39">
        <v>21</v>
      </c>
      <c r="G4" s="39">
        <v>5</v>
      </c>
      <c r="H4" s="39">
        <f>G4+F4</f>
        <v>26</v>
      </c>
      <c r="J4" s="99" t="s">
        <v>69</v>
      </c>
      <c r="K4" s="100"/>
      <c r="L4" s="78" t="s">
        <v>70</v>
      </c>
    </row>
    <row r="5" spans="1:12">
      <c r="A5" s="39"/>
      <c r="B5" s="39"/>
      <c r="C5" s="39"/>
      <c r="D5" s="102"/>
      <c r="E5" s="79"/>
      <c r="F5" s="79"/>
      <c r="G5" s="39"/>
      <c r="H5" s="39"/>
      <c r="J5" s="100"/>
      <c r="K5" s="100"/>
      <c r="L5" s="39"/>
    </row>
    <row r="6" spans="1:12">
      <c r="A6" s="39"/>
      <c r="B6" s="39"/>
      <c r="C6" s="39"/>
      <c r="D6" s="80"/>
      <c r="E6" s="79"/>
      <c r="F6" s="79"/>
      <c r="G6" s="39"/>
      <c r="H6" s="39"/>
      <c r="J6" s="100"/>
      <c r="K6" s="100"/>
      <c r="L6" s="39"/>
    </row>
    <row r="7" spans="1:12">
      <c r="A7" s="39"/>
      <c r="B7" s="39"/>
      <c r="C7" s="39"/>
      <c r="D7" s="39"/>
      <c r="E7" s="39"/>
      <c r="F7" s="39"/>
      <c r="G7" s="39"/>
      <c r="H7" s="39" t="s">
        <v>77</v>
      </c>
      <c r="J7" s="103"/>
      <c r="K7" s="103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"/>
  <sheetViews>
    <sheetView workbookViewId="0">
      <selection activeCell="DL20" sqref="DL20"/>
    </sheetView>
  </sheetViews>
  <sheetFormatPr defaultColWidth="9" defaultRowHeight="14"/>
  <cols>
    <col min="2" max="2" width="19.8181818181818" customWidth="1"/>
    <col min="3" max="3" width="10.8181818181818" customWidth="1"/>
    <col min="4" max="4" width="13.2727272727273" customWidth="1"/>
    <col min="5" max="5" width="13" customWidth="1"/>
    <col min="6" max="6" width="11.0909090909091" customWidth="1"/>
    <col min="7" max="7" width="11.4545454545455" customWidth="1"/>
  </cols>
  <sheetData>
    <row r="2" ht="22.5" customHeight="1" spans="1:12">
      <c r="A2" s="71" t="s">
        <v>78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79</v>
      </c>
      <c r="B4" s="39" t="s">
        <v>80</v>
      </c>
      <c r="C4" s="39" t="s">
        <v>68</v>
      </c>
      <c r="D4" s="39"/>
      <c r="E4" s="39"/>
      <c r="F4" s="39">
        <v>21</v>
      </c>
      <c r="G4" s="39">
        <v>5</v>
      </c>
      <c r="H4" s="39">
        <v>26</v>
      </c>
      <c r="J4" s="99" t="s">
        <v>69</v>
      </c>
      <c r="K4" s="100"/>
      <c r="L4" s="78" t="s">
        <v>70</v>
      </c>
    </row>
    <row r="5" spans="1:12">
      <c r="A5" s="39"/>
      <c r="B5" s="39"/>
      <c r="C5" s="39"/>
      <c r="D5" s="85">
        <v>46083</v>
      </c>
      <c r="E5" s="85">
        <v>46097</v>
      </c>
      <c r="F5" s="39"/>
      <c r="G5" s="39"/>
      <c r="H5" s="39"/>
      <c r="J5" s="39"/>
      <c r="K5" s="39"/>
      <c r="L5" s="39"/>
    </row>
    <row r="6" spans="1:12">
      <c r="A6" s="39"/>
      <c r="B6" s="39"/>
      <c r="C6" s="39"/>
      <c r="D6" s="85"/>
      <c r="E6" s="85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85"/>
      <c r="E7" s="85"/>
      <c r="F7" s="39"/>
      <c r="G7" s="39"/>
      <c r="H7" s="39"/>
    </row>
    <row r="8" spans="1:12">
      <c r="A8" s="39"/>
      <c r="B8" s="39"/>
      <c r="C8" s="39"/>
      <c r="D8" s="39"/>
      <c r="E8" s="39"/>
      <c r="F8" s="39"/>
      <c r="G8" s="39"/>
      <c r="H8" s="39"/>
    </row>
    <row r="9" spans="1:12">
      <c r="A9" s="39"/>
      <c r="B9" s="39"/>
      <c r="C9" s="39"/>
      <c r="D9" s="39"/>
      <c r="E9" s="39"/>
      <c r="F9" s="39"/>
      <c r="G9" s="39"/>
      <c r="H9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"/>
  <sheetViews>
    <sheetView workbookViewId="0">
      <selection activeCell="DL20" sqref="DL20"/>
    </sheetView>
  </sheetViews>
  <sheetFormatPr defaultColWidth="9" defaultRowHeight="14" outlineLevelRow="7"/>
  <cols>
    <col min="2" max="2" width="15.0909090909091" customWidth="1"/>
    <col min="3" max="3" width="11.4545454545455" customWidth="1"/>
    <col min="4" max="4" width="11.2727272727273" customWidth="1"/>
    <col min="5" max="5" width="11" customWidth="1"/>
    <col min="6" max="6" width="10.5454545454545" customWidth="1"/>
  </cols>
  <sheetData>
    <row r="2" spans="1:12">
      <c r="A2" s="71" t="s">
        <v>81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101" t="s">
        <v>67</v>
      </c>
      <c r="K3" s="101"/>
      <c r="L3" s="76"/>
    </row>
    <row r="4" spans="1:12">
      <c r="A4" s="144" t="s">
        <v>82</v>
      </c>
      <c r="B4" s="39" t="s">
        <v>83</v>
      </c>
      <c r="C4" s="39" t="s">
        <v>84</v>
      </c>
      <c r="D4" s="39"/>
      <c r="E4" s="39"/>
      <c r="F4" s="39">
        <v>21</v>
      </c>
      <c r="G4" s="39">
        <v>5</v>
      </c>
      <c r="H4" s="39">
        <f>F4+G4</f>
        <v>26</v>
      </c>
      <c r="J4" s="39" t="s">
        <v>69</v>
      </c>
      <c r="K4" s="39"/>
      <c r="L4" s="39" t="s">
        <v>70</v>
      </c>
    </row>
    <row r="5" spans="1:12">
      <c r="A5" s="39"/>
      <c r="B5" s="39"/>
      <c r="C5" s="39"/>
      <c r="D5" s="79"/>
      <c r="E5" s="79"/>
      <c r="F5" s="39"/>
      <c r="G5" s="39"/>
      <c r="H5" s="39"/>
      <c r="J5" s="39"/>
      <c r="K5" s="39"/>
      <c r="L5" s="39"/>
    </row>
    <row r="6" spans="1:12">
      <c r="A6" s="39"/>
      <c r="B6" s="39"/>
      <c r="C6" s="39"/>
      <c r="D6" s="79"/>
      <c r="E6" s="79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79"/>
      <c r="E7" s="79"/>
      <c r="F7" s="39"/>
      <c r="G7" s="39"/>
      <c r="H7" s="39"/>
    </row>
    <row r="8" spans="1:12">
      <c r="A8" s="39"/>
      <c r="B8" s="39"/>
      <c r="C8" s="39"/>
      <c r="D8" s="79"/>
      <c r="E8" s="79"/>
      <c r="F8" s="39"/>
      <c r="G8" s="39"/>
      <c r="H8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3"/>
  <sheetViews>
    <sheetView workbookViewId="0">
      <selection activeCell="DL20" sqref="DL20"/>
    </sheetView>
  </sheetViews>
  <sheetFormatPr defaultColWidth="9" defaultRowHeight="14"/>
  <cols>
    <col min="2" max="2" width="19.8181818181818" customWidth="1"/>
    <col min="3" max="3" width="13" customWidth="1"/>
    <col min="4" max="4" width="12.5454545454545" customWidth="1"/>
    <col min="5" max="5" width="12.4545454545455" customWidth="1"/>
    <col min="6" max="6" width="9.45454545454546" customWidth="1"/>
    <col min="7" max="7" width="11.1818181818182" customWidth="1"/>
  </cols>
  <sheetData>
    <row r="2" spans="1:12">
      <c r="A2" s="71" t="s">
        <v>85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86</v>
      </c>
      <c r="B4" s="39" t="s">
        <v>52</v>
      </c>
      <c r="C4" s="39" t="s">
        <v>68</v>
      </c>
      <c r="D4" s="39"/>
      <c r="E4" s="39"/>
      <c r="F4" s="78">
        <v>21</v>
      </c>
      <c r="G4" s="78">
        <v>0</v>
      </c>
      <c r="H4" s="78">
        <v>21</v>
      </c>
      <c r="J4" s="99" t="s">
        <v>69</v>
      </c>
      <c r="K4" s="100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39"/>
      <c r="J5" s="39"/>
      <c r="K5" s="39"/>
      <c r="L5" s="39"/>
    </row>
    <row r="6" spans="1:12">
      <c r="A6" s="39"/>
      <c r="B6" s="39"/>
      <c r="C6" s="39"/>
      <c r="D6" s="79"/>
      <c r="E6" s="79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79"/>
      <c r="E7" s="79"/>
      <c r="F7" s="39"/>
      <c r="G7" s="39"/>
      <c r="H7" s="39"/>
      <c r="J7" s="39"/>
      <c r="K7" s="39"/>
      <c r="L7" s="39"/>
    </row>
    <row r="13" spans="1:12">
      <c r="C13" t="s">
        <v>77</v>
      </c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7"/>
  <sheetViews>
    <sheetView workbookViewId="0">
      <selection activeCell="DL20" sqref="DL20"/>
    </sheetView>
  </sheetViews>
  <sheetFormatPr defaultColWidth="9" defaultRowHeight="14" outlineLevelRow="6"/>
  <cols>
    <col min="2" max="2" width="18.8181818181818" customWidth="1"/>
    <col min="3" max="3" width="12.6363636363636" customWidth="1"/>
    <col min="4" max="4" width="13.1818181818182" customWidth="1"/>
    <col min="5" max="5" width="14" customWidth="1"/>
    <col min="6" max="6" width="10.2727272727273" customWidth="1"/>
    <col min="7" max="7" width="10.8181818181818" customWidth="1"/>
    <col min="11" max="11" width="9.18181818181818" customWidth="1"/>
    <col min="13" max="13" width="10" customWidth="1"/>
    <col min="14" max="14" width="11" customWidth="1"/>
  </cols>
  <sheetData>
    <row r="2" spans="1:15">
      <c r="A2" s="71" t="s">
        <v>87</v>
      </c>
      <c r="B2" s="71"/>
      <c r="C2" s="71"/>
      <c r="D2" s="71"/>
      <c r="E2" s="71"/>
    </row>
    <row r="3" s="82" customFormat="1" ht="28" spans="1:15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96" t="s">
        <v>67</v>
      </c>
      <c r="K3" s="97"/>
      <c r="L3" s="98"/>
      <c r="M3" s="98"/>
      <c r="N3" s="98"/>
    </row>
    <row r="4" spans="1:15">
      <c r="A4" s="144" t="s">
        <v>88</v>
      </c>
      <c r="B4" s="39" t="s">
        <v>89</v>
      </c>
      <c r="C4" s="39" t="s">
        <v>68</v>
      </c>
      <c r="D4" s="39"/>
      <c r="E4" s="39"/>
      <c r="F4" s="39">
        <v>21</v>
      </c>
      <c r="G4" s="39">
        <v>0</v>
      </c>
      <c r="H4" s="39">
        <f>F4+G4</f>
        <v>21</v>
      </c>
      <c r="J4" s="78" t="s">
        <v>90</v>
      </c>
      <c r="K4" s="78" t="s">
        <v>91</v>
      </c>
      <c r="L4" s="5"/>
      <c r="M4" s="71"/>
      <c r="N4" s="71"/>
      <c r="O4" s="5"/>
    </row>
    <row r="5" spans="1:15">
      <c r="A5" s="39"/>
      <c r="B5" s="39"/>
      <c r="C5" s="39"/>
      <c r="D5" s="79"/>
      <c r="E5" s="79"/>
      <c r="F5" s="39"/>
      <c r="G5" s="39"/>
      <c r="H5" s="39"/>
      <c r="J5" s="39"/>
      <c r="K5" s="39"/>
      <c r="M5" s="81"/>
      <c r="N5" s="81"/>
    </row>
    <row r="6" spans="1:15">
      <c r="A6" s="39"/>
      <c r="B6" s="39"/>
      <c r="C6" s="39"/>
      <c r="D6" s="79"/>
      <c r="E6" s="79"/>
      <c r="F6" s="39"/>
      <c r="G6" s="39"/>
      <c r="H6" s="39"/>
      <c r="J6" s="39"/>
      <c r="K6" s="39"/>
    </row>
    <row r="7" spans="1:15">
      <c r="A7" s="39"/>
      <c r="B7" s="39"/>
      <c r="C7" s="39"/>
      <c r="D7" s="79"/>
      <c r="E7" s="79"/>
      <c r="F7" s="39"/>
      <c r="G7" s="39"/>
      <c r="H7" s="39"/>
    </row>
  </sheetData>
  <mergeCells count="4">
    <mergeCell ref="A2:D2"/>
    <mergeCell ref="J3:K3"/>
    <mergeCell ref="M3:N3"/>
    <mergeCell ref="M4:N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7"/>
  <sheetViews>
    <sheetView workbookViewId="0">
      <selection activeCell="DL20" sqref="DL20"/>
    </sheetView>
  </sheetViews>
  <sheetFormatPr defaultColWidth="9" defaultRowHeight="14" outlineLevelRow="6"/>
  <cols>
    <col min="2" max="2" width="19.2727272727273" customWidth="1"/>
    <col min="3" max="3" width="12.7272727272727" customWidth="1"/>
    <col min="4" max="4" width="13.6363636363636" customWidth="1"/>
    <col min="5" max="5" width="14" customWidth="1"/>
    <col min="6" max="6" width="9.45454545454546" customWidth="1"/>
    <col min="7" max="7" width="12.0909090909091" customWidth="1"/>
    <col min="10" max="11" width="10.0909090909091" customWidth="1"/>
    <col min="15" max="15" width="17.8181818181818" customWidth="1"/>
    <col min="16" max="16" width="11.9090909090909" customWidth="1"/>
  </cols>
  <sheetData>
    <row r="2" ht="24.5" customHeight="1" spans="1:17">
      <c r="A2" s="71" t="s">
        <v>92</v>
      </c>
      <c r="B2" s="71"/>
      <c r="C2" s="71"/>
      <c r="D2" s="71"/>
      <c r="E2" s="71"/>
    </row>
    <row r="3" s="82" customFormat="1" ht="28" spans="1:17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  <c r="M3" s="76"/>
      <c r="O3" s="94" t="s">
        <v>93</v>
      </c>
      <c r="P3" s="76"/>
      <c r="Q3" s="76"/>
    </row>
    <row r="4" spans="1:17">
      <c r="A4" s="144" t="s">
        <v>94</v>
      </c>
      <c r="B4" s="39" t="s">
        <v>95</v>
      </c>
      <c r="C4" s="91" t="s">
        <v>73</v>
      </c>
      <c r="D4" s="39"/>
      <c r="E4" s="39"/>
      <c r="F4" s="39">
        <v>21</v>
      </c>
      <c r="G4" s="39">
        <v>5</v>
      </c>
      <c r="H4" s="39">
        <f>F4+G4</f>
        <v>26</v>
      </c>
      <c r="J4" s="7" t="s">
        <v>74</v>
      </c>
      <c r="K4" s="95"/>
      <c r="L4" s="7" t="s">
        <v>96</v>
      </c>
      <c r="M4" s="7"/>
      <c r="N4" s="71"/>
      <c r="O4" s="78" t="s">
        <v>69</v>
      </c>
      <c r="P4" s="78"/>
      <c r="Q4" s="78" t="s">
        <v>70</v>
      </c>
    </row>
    <row r="5" spans="1:17">
      <c r="A5" s="39"/>
      <c r="B5" s="39"/>
      <c r="C5" s="39"/>
      <c r="D5" s="79"/>
      <c r="E5" s="79"/>
      <c r="F5" s="39"/>
      <c r="G5" s="39"/>
      <c r="H5" s="39"/>
      <c r="J5" s="80">
        <v>45344</v>
      </c>
      <c r="K5" s="80">
        <v>45345</v>
      </c>
      <c r="L5" s="39"/>
      <c r="M5" s="39"/>
      <c r="O5" s="80">
        <v>45579</v>
      </c>
      <c r="P5" s="80">
        <v>45589</v>
      </c>
      <c r="Q5" s="39">
        <v>9</v>
      </c>
    </row>
    <row r="6" spans="1:17">
      <c r="A6" s="39"/>
      <c r="B6" s="39"/>
      <c r="C6" s="39"/>
      <c r="D6" s="79"/>
      <c r="E6" s="79"/>
      <c r="F6" s="39"/>
      <c r="G6" s="39"/>
      <c r="H6" s="39"/>
    </row>
    <row r="7" spans="1:17">
      <c r="A7" s="39"/>
      <c r="B7" s="39"/>
      <c r="C7" s="39"/>
      <c r="D7" s="39"/>
      <c r="E7" s="39"/>
      <c r="F7" s="39"/>
      <c r="G7" s="39"/>
      <c r="H7" s="39"/>
    </row>
  </sheetData>
  <mergeCells count="4">
    <mergeCell ref="A2:D2"/>
    <mergeCell ref="J3:K3"/>
    <mergeCell ref="J4:K4"/>
    <mergeCell ref="L4:M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7"/>
  <sheetViews>
    <sheetView workbookViewId="0">
      <selection activeCell="DL20" sqref="DL20"/>
    </sheetView>
  </sheetViews>
  <sheetFormatPr defaultColWidth="9" defaultRowHeight="14" outlineLevelRow="6"/>
  <cols>
    <col min="2" max="2" width="19.2727272727273" customWidth="1"/>
    <col min="3" max="3" width="10.8181818181818" customWidth="1"/>
    <col min="4" max="4" width="14.2727272727273" customWidth="1"/>
    <col min="5" max="5" width="12.0909090909091" customWidth="1"/>
    <col min="6" max="6" width="10.4545454545455" customWidth="1"/>
    <col min="7" max="7" width="12.5454545454545" customWidth="1"/>
  </cols>
  <sheetData>
    <row r="2" spans="1:12">
      <c r="A2" s="71" t="s">
        <v>97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98</v>
      </c>
      <c r="B4" s="39" t="s">
        <v>29</v>
      </c>
      <c r="C4" s="39" t="s">
        <v>99</v>
      </c>
      <c r="D4" s="39"/>
      <c r="E4" s="39"/>
      <c r="F4" s="39">
        <v>21</v>
      </c>
      <c r="G4" s="39">
        <v>5</v>
      </c>
      <c r="H4" s="39">
        <f>F4+G4</f>
        <v>26</v>
      </c>
      <c r="J4" s="78" t="s">
        <v>69</v>
      </c>
      <c r="K4" s="39"/>
      <c r="L4" s="78" t="s">
        <v>96</v>
      </c>
    </row>
    <row r="5" spans="1:12">
      <c r="A5" s="39"/>
      <c r="B5" s="39"/>
      <c r="C5" s="39"/>
      <c r="D5" s="80"/>
      <c r="E5" s="80"/>
      <c r="F5" s="39"/>
      <c r="G5" s="39"/>
      <c r="H5" s="39"/>
      <c r="J5" s="39"/>
      <c r="K5" s="39"/>
      <c r="L5" s="39">
        <v>2</v>
      </c>
    </row>
    <row r="6" spans="1:12">
      <c r="A6" s="39"/>
      <c r="B6" s="39"/>
      <c r="C6" s="39"/>
      <c r="D6" s="39"/>
      <c r="E6" s="39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39"/>
      <c r="E7" s="39"/>
      <c r="F7" s="39"/>
      <c r="G7" s="39"/>
      <c r="H7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7"/>
  <sheetViews>
    <sheetView workbookViewId="0">
      <selection activeCell="DL20" sqref="DL20"/>
    </sheetView>
  </sheetViews>
  <sheetFormatPr defaultColWidth="9" defaultRowHeight="14" outlineLevelRow="6"/>
  <cols>
    <col min="2" max="2" width="14.2727272727273" customWidth="1"/>
    <col min="3" max="3" width="12.1818181818182" customWidth="1"/>
    <col min="4" max="4" width="13.4545454545455" customWidth="1"/>
    <col min="5" max="5" width="14.2727272727273" customWidth="1"/>
    <col min="6" max="6" width="11" customWidth="1"/>
    <col min="7" max="7" width="10.8181818181818" customWidth="1"/>
  </cols>
  <sheetData>
    <row r="2" ht="19" customHeight="1" spans="1:12">
      <c r="A2" s="71" t="s">
        <v>100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101</v>
      </c>
      <c r="B4" s="39" t="s">
        <v>30</v>
      </c>
      <c r="C4" s="91" t="s">
        <v>84</v>
      </c>
      <c r="D4" s="39"/>
      <c r="E4" s="39"/>
      <c r="F4" s="39">
        <v>21</v>
      </c>
      <c r="G4" s="39">
        <v>5</v>
      </c>
      <c r="H4" s="39">
        <f>F4+G4</f>
        <v>26</v>
      </c>
      <c r="J4" s="78" t="s">
        <v>74</v>
      </c>
      <c r="K4" s="39"/>
      <c r="L4" s="78" t="s">
        <v>96</v>
      </c>
    </row>
    <row r="5" spans="1:12">
      <c r="A5" s="39"/>
      <c r="B5" s="39"/>
      <c r="C5" s="39"/>
      <c r="D5" s="79"/>
      <c r="E5" s="79"/>
      <c r="F5" s="39"/>
      <c r="G5" s="39"/>
      <c r="H5" s="39"/>
      <c r="J5" s="39"/>
      <c r="K5" s="39"/>
      <c r="L5" s="39"/>
    </row>
    <row r="6" spans="1:12">
      <c r="A6" s="39"/>
      <c r="B6" s="39"/>
      <c r="C6" s="39"/>
      <c r="D6" s="39"/>
      <c r="E6" s="39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39"/>
      <c r="E7" s="39"/>
      <c r="F7" s="39"/>
      <c r="G7" s="39"/>
      <c r="H7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"/>
  <sheetViews>
    <sheetView workbookViewId="0">
      <selection activeCell="DL20" sqref="DL20"/>
    </sheetView>
  </sheetViews>
  <sheetFormatPr defaultColWidth="9" defaultRowHeight="14" outlineLevelRow="7"/>
  <cols>
    <col min="2" max="2" width="20" customWidth="1"/>
    <col min="3" max="3" width="13.4545454545455" customWidth="1"/>
    <col min="4" max="4" width="13.1818181818182" customWidth="1"/>
    <col min="5" max="5" width="12.9090909090909" customWidth="1"/>
    <col min="6" max="6" width="10.8181818181818" customWidth="1"/>
    <col min="7" max="7" width="10.3636363636364" customWidth="1"/>
    <col min="8" max="9" width="7.45454545454545" customWidth="1"/>
  </cols>
  <sheetData>
    <row r="2" ht="20.5" customHeight="1" spans="1:12">
      <c r="A2" s="71" t="s">
        <v>102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103</v>
      </c>
      <c r="B4" s="39" t="s">
        <v>104</v>
      </c>
      <c r="C4" s="91" t="s">
        <v>84</v>
      </c>
      <c r="D4" s="39"/>
      <c r="E4" s="39"/>
      <c r="F4" s="39">
        <v>21</v>
      </c>
      <c r="G4" s="39">
        <v>4</v>
      </c>
      <c r="H4" s="39">
        <f>F4+G4</f>
        <v>25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92"/>
      <c r="F5" s="39"/>
      <c r="G5" s="93"/>
      <c r="H5" s="39"/>
      <c r="J5" s="39"/>
      <c r="K5" s="39"/>
      <c r="L5" s="39"/>
    </row>
    <row r="6" spans="1:12">
      <c r="A6" s="39"/>
      <c r="B6" s="39"/>
      <c r="C6" s="39"/>
      <c r="D6" s="79"/>
      <c r="E6" s="79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79"/>
      <c r="E7" s="79"/>
      <c r="F7" s="39"/>
      <c r="G7" s="39"/>
      <c r="H7" s="39"/>
    </row>
    <row r="8" spans="1:12">
      <c r="A8" s="39"/>
      <c r="B8" s="39"/>
      <c r="C8" s="39"/>
      <c r="D8" s="79"/>
      <c r="E8" s="79"/>
      <c r="F8" s="39"/>
      <c r="G8" s="39"/>
      <c r="H8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"/>
  <sheetViews>
    <sheetView workbookViewId="0">
      <selection activeCell="DL20" sqref="DL20"/>
    </sheetView>
  </sheetViews>
  <sheetFormatPr defaultColWidth="9" defaultRowHeight="14" outlineLevelRow="7"/>
  <cols>
    <col min="2" max="2" width="20" customWidth="1"/>
    <col min="3" max="3" width="11.6363636363636" customWidth="1"/>
    <col min="4" max="4" width="13.5454545454545" customWidth="1"/>
    <col min="5" max="5" width="13.2727272727273" customWidth="1"/>
    <col min="6" max="6" width="9.45454545454546" customWidth="1"/>
    <col min="7" max="7" width="11.5454545454545" customWidth="1"/>
    <col min="8" max="9" width="9.18181818181818" customWidth="1"/>
    <col min="10" max="10" width="12.8181818181818" customWidth="1"/>
    <col min="11" max="11" width="12.2727272727273" customWidth="1"/>
  </cols>
  <sheetData>
    <row r="2" ht="22" customHeight="1" spans="1:12">
      <c r="A2" s="71" t="s">
        <v>105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106</v>
      </c>
      <c r="K3" s="75"/>
      <c r="L3" s="75"/>
    </row>
    <row r="4" spans="1:12">
      <c r="A4" s="144" t="s">
        <v>107</v>
      </c>
      <c r="B4" s="39" t="s">
        <v>108</v>
      </c>
      <c r="C4" s="39" t="s">
        <v>109</v>
      </c>
      <c r="D4" s="78"/>
      <c r="E4" s="78"/>
      <c r="F4" s="39">
        <v>21</v>
      </c>
      <c r="G4" s="39">
        <v>5</v>
      </c>
      <c r="H4" s="39">
        <f>F4+G4</f>
        <v>26</v>
      </c>
      <c r="J4" s="7" t="s">
        <v>69</v>
      </c>
      <c r="K4" s="7"/>
      <c r="L4" s="78" t="s">
        <v>70</v>
      </c>
    </row>
    <row r="5" spans="1:12">
      <c r="A5" s="39"/>
      <c r="B5" s="39"/>
      <c r="C5" s="39"/>
      <c r="D5" s="85"/>
      <c r="E5" s="85"/>
      <c r="F5" s="39"/>
      <c r="G5" s="39"/>
      <c r="H5" s="39"/>
      <c r="J5" s="39"/>
      <c r="K5" s="39"/>
      <c r="L5" s="39"/>
    </row>
    <row r="6" spans="1:12">
      <c r="A6" s="39"/>
      <c r="B6" s="39"/>
      <c r="C6" s="39"/>
      <c r="D6" s="85"/>
      <c r="E6" s="85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85"/>
      <c r="E7" s="85"/>
      <c r="F7" s="39"/>
      <c r="G7" s="39"/>
      <c r="H7" s="39"/>
      <c r="J7" s="39"/>
      <c r="K7" s="39"/>
      <c r="L7" s="39"/>
    </row>
    <row r="8" spans="1:12">
      <c r="A8" s="39"/>
      <c r="B8" s="39"/>
      <c r="C8" s="39"/>
      <c r="D8" s="79"/>
      <c r="E8" s="79"/>
      <c r="F8" s="39"/>
      <c r="G8" s="39"/>
      <c r="H8" s="39"/>
      <c r="J8" s="39"/>
      <c r="K8" s="39"/>
      <c r="L8" s="39"/>
    </row>
  </sheetData>
  <mergeCells count="3">
    <mergeCell ref="A2:D2"/>
    <mergeCell ref="J3:L3"/>
    <mergeCell ref="J4:K4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"/>
  <sheetViews>
    <sheetView workbookViewId="0">
      <selection activeCell="DL20" sqref="DL20"/>
    </sheetView>
  </sheetViews>
  <sheetFormatPr defaultColWidth="9" defaultRowHeight="14"/>
  <cols>
    <col min="2" max="2" width="12.4545454545455" customWidth="1"/>
    <col min="3" max="3" width="11.8181818181818" customWidth="1"/>
    <col min="4" max="4" width="12.5454545454545" customWidth="1"/>
    <col min="5" max="5" width="12" customWidth="1"/>
    <col min="6" max="6" width="8.18181818181818" customWidth="1"/>
    <col min="7" max="7" width="10.4545454545455" customWidth="1"/>
    <col min="10" max="10" width="16.5454545454545" customWidth="1"/>
    <col min="11" max="11" width="13.5454545454545" customWidth="1"/>
  </cols>
  <sheetData>
    <row r="2" ht="20" customHeight="1" spans="1:12">
      <c r="A2" s="71" t="s">
        <v>110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111</v>
      </c>
      <c r="B4" s="39" t="s">
        <v>33</v>
      </c>
      <c r="C4" s="39" t="s">
        <v>84</v>
      </c>
      <c r="D4" s="39"/>
      <c r="E4" s="39"/>
      <c r="F4" s="39">
        <v>21</v>
      </c>
      <c r="G4" s="39">
        <v>5</v>
      </c>
      <c r="H4" s="39">
        <f>F4+G4</f>
        <v>26</v>
      </c>
      <c r="J4" s="7" t="s">
        <v>69</v>
      </c>
      <c r="K4" s="7"/>
      <c r="L4" s="78" t="s">
        <v>70</v>
      </c>
    </row>
    <row r="5" spans="1:12">
      <c r="A5" s="39"/>
      <c r="B5" s="39"/>
      <c r="C5" s="39"/>
      <c r="D5" s="85"/>
      <c r="E5" s="85"/>
      <c r="F5" s="39"/>
      <c r="G5" s="39"/>
      <c r="H5" s="39"/>
      <c r="J5" s="39"/>
      <c r="K5" s="39"/>
      <c r="L5" s="39"/>
    </row>
    <row r="6" spans="1:12">
      <c r="A6" s="39"/>
      <c r="B6" s="39"/>
      <c r="C6" s="39"/>
      <c r="D6" s="85"/>
      <c r="E6" s="85"/>
      <c r="F6" s="39"/>
      <c r="G6" s="39"/>
      <c r="H6" s="39"/>
      <c r="J6" s="79"/>
      <c r="K6" s="79"/>
      <c r="L6" s="39"/>
    </row>
    <row r="7" spans="1:12">
      <c r="A7" s="39"/>
      <c r="B7" s="39"/>
      <c r="C7" s="39"/>
      <c r="D7" s="85"/>
      <c r="E7" s="85"/>
      <c r="F7" s="39"/>
      <c r="G7" s="39"/>
      <c r="H7" s="39"/>
      <c r="J7" s="39"/>
      <c r="K7" s="39"/>
      <c r="L7" s="39"/>
    </row>
    <row r="8" spans="1:12">
      <c r="A8" s="39"/>
      <c r="B8" s="39"/>
      <c r="C8" s="39"/>
      <c r="D8" s="39"/>
      <c r="E8" s="39"/>
      <c r="F8" s="39"/>
      <c r="G8" s="39"/>
      <c r="H8" s="39"/>
    </row>
    <row r="9" spans="1:12">
      <c r="A9" s="39"/>
      <c r="B9" s="39"/>
      <c r="C9" s="39"/>
      <c r="D9" s="39"/>
      <c r="E9" s="39"/>
      <c r="F9" s="39"/>
      <c r="G9" s="39"/>
      <c r="H9" s="39"/>
    </row>
  </sheetData>
  <mergeCells count="3">
    <mergeCell ref="A2:D2"/>
    <mergeCell ref="J3:K3"/>
    <mergeCell ref="J4:K4"/>
  </mergeCells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7"/>
  <sheetViews>
    <sheetView workbookViewId="0">
      <selection activeCell="DL20" sqref="DL20"/>
    </sheetView>
  </sheetViews>
  <sheetFormatPr defaultColWidth="9" defaultRowHeight="14" outlineLevelRow="6"/>
  <cols>
    <col min="2" max="2" width="15.2727272727273" customWidth="1"/>
    <col min="3" max="3" width="10.8181818181818" customWidth="1"/>
    <col min="4" max="4" width="13.4545454545455" customWidth="1"/>
    <col min="5" max="5" width="14.0909090909091" customWidth="1"/>
    <col min="6" max="6" width="10.5454545454545" customWidth="1"/>
    <col min="7" max="7" width="11.2727272727273" customWidth="1"/>
  </cols>
  <sheetData>
    <row r="2" spans="1:13">
      <c r="A2" s="71" t="s">
        <v>112</v>
      </c>
      <c r="B2" s="71"/>
      <c r="C2" s="71"/>
      <c r="D2" s="71"/>
      <c r="E2" s="71"/>
    </row>
    <row r="3" s="82" customFormat="1" ht="28" spans="1:13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  <c r="M3" s="76"/>
    </row>
    <row r="4" spans="1:13">
      <c r="A4" s="144" t="s">
        <v>113</v>
      </c>
      <c r="B4" s="39" t="s">
        <v>53</v>
      </c>
      <c r="C4" s="39" t="s">
        <v>114</v>
      </c>
      <c r="D4" s="88"/>
      <c r="E4" s="88"/>
      <c r="F4" s="39">
        <v>21</v>
      </c>
      <c r="G4" s="39">
        <v>0</v>
      </c>
      <c r="H4" s="39">
        <f>F4+G4</f>
        <v>21</v>
      </c>
      <c r="J4" s="7" t="s">
        <v>69</v>
      </c>
      <c r="K4" s="7"/>
      <c r="L4" s="7" t="s">
        <v>70</v>
      </c>
      <c r="M4" s="7"/>
    </row>
    <row r="5" spans="1:13">
      <c r="A5" s="39"/>
      <c r="B5" s="39"/>
      <c r="C5" s="39"/>
      <c r="D5" s="88">
        <v>46073</v>
      </c>
      <c r="E5" s="88">
        <v>46073</v>
      </c>
      <c r="F5" s="39">
        <v>1</v>
      </c>
      <c r="G5" s="39"/>
      <c r="H5" s="39">
        <f>H4-F5</f>
        <v>20</v>
      </c>
      <c r="J5" s="39"/>
      <c r="K5" s="39"/>
      <c r="L5" s="39"/>
      <c r="M5" s="39"/>
    </row>
    <row r="6" spans="1:13">
      <c r="A6" s="39"/>
      <c r="B6" s="39"/>
      <c r="C6" s="39"/>
      <c r="D6" s="79"/>
      <c r="E6" s="79"/>
      <c r="F6" s="89"/>
      <c r="G6" s="90"/>
      <c r="H6" s="39"/>
      <c r="J6" s="39"/>
      <c r="K6" s="39"/>
      <c r="L6" s="39"/>
      <c r="M6" s="39"/>
    </row>
    <row r="7" spans="1:13">
      <c r="A7" s="39"/>
      <c r="B7" s="39"/>
      <c r="C7" s="39"/>
      <c r="D7" s="79"/>
      <c r="E7" s="79"/>
      <c r="F7" s="39"/>
      <c r="G7" s="39"/>
      <c r="H7" s="39"/>
    </row>
  </sheetData>
  <mergeCells count="4">
    <mergeCell ref="A2:D2"/>
    <mergeCell ref="J3:K3"/>
    <mergeCell ref="J4:K4"/>
    <mergeCell ref="L4:M4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"/>
  <sheetViews>
    <sheetView workbookViewId="0">
      <selection activeCell="DL20" sqref="DL20"/>
    </sheetView>
  </sheetViews>
  <sheetFormatPr defaultColWidth="9" defaultRowHeight="14" outlineLevelRow="7"/>
  <cols>
    <col min="2" max="2" width="19" customWidth="1"/>
    <col min="3" max="3" width="10.8181818181818" customWidth="1"/>
    <col min="4" max="4" width="13.9090909090909" customWidth="1"/>
    <col min="5" max="5" width="12.6363636363636" customWidth="1"/>
    <col min="6" max="6" width="9.45454545454546" customWidth="1"/>
    <col min="7" max="7" width="11.4545454545455" customWidth="1"/>
    <col min="11" max="11" width="12" customWidth="1"/>
  </cols>
  <sheetData>
    <row r="2" ht="20.5" customHeight="1" spans="1:12">
      <c r="A2" s="71" t="s">
        <v>115</v>
      </c>
      <c r="B2" s="71"/>
      <c r="C2" s="71"/>
      <c r="D2" s="71"/>
      <c r="E2" s="71"/>
    </row>
    <row r="3" s="82" customFormat="1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86" t="s">
        <v>67</v>
      </c>
      <c r="K3" s="87"/>
      <c r="L3" s="76"/>
    </row>
    <row r="4" spans="1:12">
      <c r="A4" s="144" t="s">
        <v>116</v>
      </c>
      <c r="B4" s="39" t="s">
        <v>117</v>
      </c>
      <c r="C4" s="39" t="s">
        <v>84</v>
      </c>
      <c r="D4" s="39"/>
      <c r="E4" s="39"/>
      <c r="F4" s="78">
        <v>21</v>
      </c>
      <c r="G4" s="78">
        <v>5</v>
      </c>
      <c r="H4" s="78">
        <f>F4+G4</f>
        <v>26</v>
      </c>
      <c r="J4" s="39" t="s">
        <v>69</v>
      </c>
      <c r="K4" s="39"/>
      <c r="L4" s="39" t="s">
        <v>70</v>
      </c>
    </row>
    <row r="5" spans="1:12">
      <c r="A5" s="39"/>
      <c r="B5" s="39"/>
      <c r="C5" s="39"/>
      <c r="D5" s="79"/>
      <c r="E5" s="79"/>
      <c r="F5" s="39"/>
      <c r="G5" s="39"/>
      <c r="H5" s="39"/>
      <c r="J5" s="39" t="s">
        <v>118</v>
      </c>
      <c r="K5" s="39" t="s">
        <v>119</v>
      </c>
      <c r="L5" s="39">
        <v>2</v>
      </c>
    </row>
    <row r="6" spans="1:12">
      <c r="A6" s="39"/>
      <c r="B6" s="39"/>
      <c r="C6" s="39"/>
      <c r="D6" s="79"/>
      <c r="E6" s="79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79"/>
      <c r="E7" s="79"/>
      <c r="F7" s="39"/>
      <c r="G7" s="39"/>
      <c r="H7" s="39"/>
      <c r="J7" s="39"/>
      <c r="K7" s="39"/>
      <c r="L7" s="39"/>
    </row>
    <row r="8" spans="1:12">
      <c r="A8" s="39"/>
      <c r="B8" s="39"/>
      <c r="C8" s="39"/>
      <c r="D8" s="39"/>
      <c r="E8" s="39"/>
      <c r="F8" s="39"/>
      <c r="G8" s="39"/>
      <c r="H8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zoomScale="95" zoomScaleNormal="95" workbookViewId="0">
      <selection activeCell="DL20" sqref="DL20"/>
    </sheetView>
  </sheetViews>
  <sheetFormatPr defaultColWidth="9" defaultRowHeight="14" outlineLevelRow="5"/>
  <cols>
    <col min="2" max="2" width="20.8181818181818" customWidth="1"/>
    <col min="3" max="3" width="10.8181818181818" customWidth="1"/>
    <col min="4" max="4" width="15.2727272727273" customWidth="1"/>
    <col min="5" max="5" width="15.1818181818182" customWidth="1"/>
    <col min="6" max="6" width="9.45454545454546" customWidth="1"/>
    <col min="7" max="7" width="13" customWidth="1"/>
  </cols>
  <sheetData>
    <row r="1" ht="26.5" customHeight="1" spans="1:12">
      <c r="A1" s="71" t="s">
        <v>120</v>
      </c>
      <c r="B1" s="71"/>
      <c r="C1" s="71"/>
      <c r="D1" s="71"/>
      <c r="E1" s="71"/>
    </row>
    <row r="2" spans="1:12">
      <c r="A2" s="83" t="s">
        <v>59</v>
      </c>
      <c r="B2" s="78" t="s">
        <v>60</v>
      </c>
      <c r="C2" s="78" t="s">
        <v>61</v>
      </c>
      <c r="D2" s="78" t="s">
        <v>62</v>
      </c>
      <c r="E2" s="78" t="s">
        <v>63</v>
      </c>
      <c r="F2" s="78" t="s">
        <v>64</v>
      </c>
      <c r="G2" s="78" t="s">
        <v>65</v>
      </c>
      <c r="H2" s="78" t="s">
        <v>66</v>
      </c>
      <c r="I2" s="5"/>
      <c r="J2" s="84" t="s">
        <v>67</v>
      </c>
      <c r="K2" s="84"/>
      <c r="L2" s="39"/>
    </row>
    <row r="3" spans="1:12">
      <c r="A3" s="144" t="s">
        <v>121</v>
      </c>
      <c r="B3" s="39" t="s">
        <v>56</v>
      </c>
      <c r="C3" s="39" t="s">
        <v>68</v>
      </c>
      <c r="D3" s="39"/>
      <c r="E3" s="39"/>
      <c r="F3" s="39">
        <v>21</v>
      </c>
      <c r="G3" s="39">
        <v>0</v>
      </c>
      <c r="H3" s="78">
        <f>F3+G3</f>
        <v>21</v>
      </c>
      <c r="J3" s="78" t="s">
        <v>69</v>
      </c>
      <c r="K3" s="39"/>
      <c r="L3" s="78" t="s">
        <v>70</v>
      </c>
    </row>
    <row r="4" spans="1:12">
      <c r="A4" s="39"/>
      <c r="B4" s="39"/>
      <c r="C4" s="39"/>
      <c r="D4" s="85"/>
      <c r="E4" s="85"/>
      <c r="F4" s="39"/>
      <c r="G4" s="39"/>
      <c r="H4" s="78"/>
      <c r="J4" s="39"/>
      <c r="K4" s="39"/>
      <c r="L4" s="39"/>
    </row>
    <row r="5" spans="1:12">
      <c r="A5" s="39"/>
      <c r="B5" s="39"/>
      <c r="C5" s="39"/>
      <c r="D5" s="85"/>
      <c r="E5" s="85"/>
      <c r="F5" s="39"/>
      <c r="G5" s="39"/>
      <c r="H5" s="78"/>
      <c r="J5" s="39"/>
      <c r="K5" s="39"/>
      <c r="L5" s="39"/>
    </row>
    <row r="6" spans="1:12">
      <c r="A6" s="39"/>
      <c r="B6" s="39"/>
      <c r="C6" s="39"/>
      <c r="D6" s="39"/>
      <c r="E6" s="39"/>
      <c r="F6" s="39"/>
      <c r="G6" s="39"/>
      <c r="H6" s="39"/>
    </row>
  </sheetData>
  <mergeCells count="2">
    <mergeCell ref="A1:D1"/>
    <mergeCell ref="J2:K2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DL20" sqref="DL20"/>
    </sheetView>
  </sheetViews>
  <sheetFormatPr defaultColWidth="9" defaultRowHeight="14" outlineLevelRow="5"/>
  <cols>
    <col min="1" max="1" width="7.27272727272727" customWidth="1"/>
    <col min="2" max="2" width="21.1818181818182" customWidth="1"/>
    <col min="3" max="3" width="11.9090909090909" customWidth="1"/>
    <col min="4" max="4" width="13.7272727272727" customWidth="1"/>
    <col min="5" max="5" width="13.8181818181818" customWidth="1"/>
    <col min="6" max="6" width="10.7272727272727" customWidth="1"/>
    <col min="7" max="7" width="9.90909090909091" customWidth="1"/>
    <col min="8" max="8" width="9.27272727272727" customWidth="1"/>
    <col min="10" max="10" width="11.4545454545455" customWidth="1"/>
    <col min="11" max="11" width="13" customWidth="1"/>
  </cols>
  <sheetData>
    <row r="1" ht="21" customHeight="1" spans="1:12">
      <c r="A1" s="71" t="s">
        <v>122</v>
      </c>
      <c r="B1" s="71"/>
      <c r="C1" s="71"/>
      <c r="D1" s="71"/>
      <c r="E1" s="71"/>
    </row>
    <row r="2" s="82" customFormat="1" ht="28" spans="1:12">
      <c r="A2" s="72" t="s">
        <v>59</v>
      </c>
      <c r="B2" s="73" t="s">
        <v>60</v>
      </c>
      <c r="C2" s="73" t="s">
        <v>61</v>
      </c>
      <c r="D2" s="73" t="s">
        <v>62</v>
      </c>
      <c r="E2" s="73" t="s">
        <v>63</v>
      </c>
      <c r="F2" s="73" t="s">
        <v>64</v>
      </c>
      <c r="G2" s="73" t="s">
        <v>65</v>
      </c>
      <c r="H2" s="73" t="s">
        <v>66</v>
      </c>
      <c r="I2" s="74"/>
      <c r="J2" s="75" t="s">
        <v>67</v>
      </c>
      <c r="K2" s="75"/>
      <c r="L2" s="76"/>
    </row>
    <row r="3" spans="1:12">
      <c r="A3" s="144" t="s">
        <v>123</v>
      </c>
      <c r="B3" s="39" t="s">
        <v>124</v>
      </c>
      <c r="C3" s="39" t="s">
        <v>125</v>
      </c>
      <c r="D3" s="39"/>
      <c r="E3" s="39"/>
      <c r="F3" s="39">
        <v>21</v>
      </c>
      <c r="G3" s="39">
        <v>5</v>
      </c>
      <c r="H3" s="78">
        <f>F3+G3</f>
        <v>26</v>
      </c>
      <c r="J3" s="78" t="s">
        <v>69</v>
      </c>
      <c r="K3" s="39"/>
      <c r="L3" s="78" t="s">
        <v>70</v>
      </c>
    </row>
    <row r="4" spans="1:12">
      <c r="A4" s="39"/>
      <c r="B4" s="39"/>
      <c r="C4" s="39"/>
      <c r="D4" s="79"/>
      <c r="E4" s="79"/>
      <c r="F4" s="39"/>
      <c r="G4" s="39"/>
      <c r="H4" s="39"/>
      <c r="J4" s="80"/>
      <c r="K4" s="80"/>
      <c r="L4" s="39"/>
    </row>
    <row r="5" spans="1:12">
      <c r="A5" s="39"/>
      <c r="B5" s="39"/>
      <c r="C5" s="39"/>
      <c r="D5" s="79"/>
      <c r="E5" s="79"/>
      <c r="F5" s="39"/>
      <c r="G5" s="39"/>
      <c r="H5" s="39"/>
      <c r="J5" s="39"/>
      <c r="K5" s="39"/>
      <c r="L5" s="39"/>
    </row>
    <row r="6" spans="1:12">
      <c r="A6" s="39"/>
      <c r="B6" s="39"/>
      <c r="C6" s="39"/>
      <c r="D6" s="39"/>
      <c r="E6" s="39"/>
      <c r="F6" s="39"/>
      <c r="G6" s="39"/>
      <c r="H6" s="39"/>
    </row>
  </sheetData>
  <mergeCells count="2">
    <mergeCell ref="A1:D1"/>
    <mergeCell ref="J2:K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DL20" sqref="DL20"/>
    </sheetView>
  </sheetViews>
  <sheetFormatPr defaultColWidth="9" defaultRowHeight="14" outlineLevelRow="6"/>
  <cols>
    <col min="2" max="2" width="16.1818181818182" customWidth="1"/>
    <col min="3" max="3" width="13.2727272727273" customWidth="1"/>
    <col min="4" max="4" width="13.3636363636364" customWidth="1"/>
    <col min="5" max="5" width="12.2727272727273" customWidth="1"/>
    <col min="6" max="6" width="12" customWidth="1"/>
    <col min="7" max="7" width="11.2727272727273" customWidth="1"/>
  </cols>
  <sheetData>
    <row r="1" spans="1:12">
      <c r="A1" t="s">
        <v>126</v>
      </c>
    </row>
    <row r="2" spans="1:12">
      <c r="A2" s="71" t="s">
        <v>127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128</v>
      </c>
      <c r="B4" s="39" t="s">
        <v>39</v>
      </c>
      <c r="C4" s="39" t="s">
        <v>68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78"/>
      <c r="J5" s="80"/>
      <c r="K5" s="80"/>
      <c r="L5" s="39"/>
    </row>
    <row r="6" spans="1:12">
      <c r="A6" s="39"/>
      <c r="B6" s="39"/>
      <c r="C6" s="39"/>
      <c r="D6" s="80"/>
      <c r="E6" s="80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39"/>
      <c r="E7" s="39"/>
      <c r="F7" s="39"/>
      <c r="G7" s="39"/>
      <c r="H7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7"/>
  <sheetViews>
    <sheetView workbookViewId="0">
      <selection activeCell="DL20" sqref="DL20"/>
    </sheetView>
  </sheetViews>
  <sheetFormatPr defaultColWidth="9" defaultRowHeight="14" outlineLevelRow="6"/>
  <cols>
    <col min="2" max="2" width="13.8181818181818" customWidth="1"/>
    <col min="3" max="4" width="10.8181818181818" customWidth="1"/>
    <col min="5" max="5" width="11.3636363636364" customWidth="1"/>
    <col min="6" max="6" width="12.0909090909091" customWidth="1"/>
    <col min="7" max="7" width="10.5454545454545" customWidth="1"/>
    <col min="8" max="8" width="9.72727272727273" customWidth="1"/>
    <col min="10" max="10" width="11" customWidth="1"/>
    <col min="11" max="11" width="9.36363636363636" customWidth="1"/>
  </cols>
  <sheetData>
    <row r="2" spans="1:13">
      <c r="A2" s="71" t="s">
        <v>129</v>
      </c>
      <c r="B2" s="71"/>
      <c r="C2" s="71"/>
      <c r="D2" s="71"/>
      <c r="E2" s="71"/>
    </row>
    <row r="3" ht="28" spans="1:13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  <c r="M3" s="82"/>
    </row>
    <row r="4" spans="1:13">
      <c r="A4" s="144" t="s">
        <v>130</v>
      </c>
      <c r="B4" s="39" t="s">
        <v>38</v>
      </c>
      <c r="C4" s="39" t="s">
        <v>109</v>
      </c>
      <c r="D4" s="39"/>
      <c r="E4" s="39"/>
      <c r="F4" s="39">
        <v>21</v>
      </c>
      <c r="G4" s="39">
        <v>5</v>
      </c>
      <c r="H4" s="78">
        <f>SUM(F4:G4)</f>
        <v>26</v>
      </c>
      <c r="J4" s="78" t="s">
        <v>69</v>
      </c>
      <c r="K4" s="39"/>
      <c r="L4" s="78" t="s">
        <v>70</v>
      </c>
    </row>
    <row r="5" spans="1:13">
      <c r="A5" s="39"/>
      <c r="B5" s="39"/>
      <c r="C5" s="39"/>
      <c r="D5" s="80"/>
      <c r="E5" s="80"/>
      <c r="F5" s="39"/>
      <c r="G5" s="39"/>
      <c r="H5" s="39"/>
      <c r="J5" s="79">
        <v>45786</v>
      </c>
      <c r="K5" s="79">
        <v>45790</v>
      </c>
      <c r="L5" s="39">
        <v>3</v>
      </c>
    </row>
    <row r="6" spans="1:13">
      <c r="A6" s="39"/>
      <c r="B6" s="39"/>
      <c r="C6" s="39"/>
      <c r="D6" s="80"/>
      <c r="E6" s="80"/>
      <c r="F6" s="39"/>
      <c r="G6" s="39"/>
      <c r="H6" s="39"/>
      <c r="J6" s="39"/>
      <c r="K6" s="39"/>
      <c r="L6" s="39"/>
    </row>
    <row r="7" spans="1:13">
      <c r="A7" s="39"/>
      <c r="B7" s="39"/>
      <c r="C7" s="39"/>
      <c r="D7" s="39"/>
      <c r="E7" s="39"/>
      <c r="F7" s="39"/>
      <c r="G7" s="39"/>
      <c r="H7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7"/>
  <sheetViews>
    <sheetView workbookViewId="0">
      <selection activeCell="DL20" sqref="DL20"/>
    </sheetView>
  </sheetViews>
  <sheetFormatPr defaultColWidth="9" defaultRowHeight="14" outlineLevelRow="6"/>
  <cols>
    <col min="2" max="2" width="14.7272727272727" customWidth="1"/>
    <col min="3" max="3" width="12.2727272727273" customWidth="1"/>
    <col min="4" max="4" width="13.1818181818182" customWidth="1"/>
    <col min="5" max="5" width="13" customWidth="1"/>
    <col min="6" max="6" width="10.9090909090909" customWidth="1"/>
    <col min="7" max="7" width="11.4545454545455" customWidth="1"/>
    <col min="8" max="8" width="9.72727272727273" customWidth="1"/>
  </cols>
  <sheetData>
    <row r="2" spans="1:13">
      <c r="A2" s="71" t="s">
        <v>131</v>
      </c>
      <c r="B2" s="71"/>
      <c r="C2" s="71"/>
      <c r="D2" s="71"/>
      <c r="E2" s="71"/>
    </row>
    <row r="3" ht="28" spans="1:13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  <c r="M3" s="82"/>
    </row>
    <row r="4" spans="1:13">
      <c r="A4" s="144" t="s">
        <v>132</v>
      </c>
      <c r="B4" s="39" t="s">
        <v>40</v>
      </c>
      <c r="C4" s="39" t="s">
        <v>73</v>
      </c>
      <c r="D4" s="39"/>
      <c r="E4" s="39"/>
      <c r="F4" s="39">
        <v>21</v>
      </c>
      <c r="G4" s="39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3">
      <c r="A5" s="39"/>
      <c r="B5" s="39"/>
      <c r="C5" s="39"/>
      <c r="D5" s="79">
        <v>46056</v>
      </c>
      <c r="E5" s="79">
        <v>46062</v>
      </c>
      <c r="F5" s="39"/>
      <c r="G5" s="39">
        <v>5</v>
      </c>
      <c r="H5" s="39">
        <f>F4-G5</f>
        <v>16</v>
      </c>
      <c r="J5" s="80"/>
      <c r="K5" s="80"/>
      <c r="L5" s="39"/>
    </row>
    <row r="6" spans="1:13">
      <c r="A6" s="39"/>
      <c r="B6" s="39"/>
      <c r="C6" s="39"/>
      <c r="D6" s="79"/>
      <c r="E6" s="79"/>
      <c r="F6" s="39"/>
      <c r="G6" s="39"/>
      <c r="H6" s="39"/>
      <c r="J6" s="39"/>
      <c r="K6" s="39"/>
      <c r="L6" s="39"/>
    </row>
    <row r="7" spans="1:13">
      <c r="A7" s="39"/>
      <c r="B7" s="39"/>
      <c r="C7" s="39"/>
      <c r="D7" s="39"/>
      <c r="E7" s="39"/>
      <c r="F7" s="39"/>
      <c r="G7" s="39"/>
      <c r="H7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2" max="2" width="13.0909090909091" customWidth="1"/>
    <col min="3" max="3" width="12.1818181818182" customWidth="1"/>
    <col min="4" max="4" width="10.4545454545455" customWidth="1"/>
    <col min="5" max="6" width="11.0909090909091" customWidth="1"/>
    <col min="7" max="7" width="12" customWidth="1"/>
    <col min="8" max="8" width="10.0909090909091" customWidth="1"/>
  </cols>
  <sheetData>
    <row r="2" spans="1:12">
      <c r="A2" s="71" t="s">
        <v>133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134</v>
      </c>
      <c r="B4" s="39" t="s">
        <v>21</v>
      </c>
      <c r="C4" s="39" t="s">
        <v>73</v>
      </c>
      <c r="D4" s="39"/>
      <c r="E4" s="39"/>
      <c r="F4" s="39">
        <v>21</v>
      </c>
      <c r="G4" s="39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39"/>
      <c r="J5" s="80"/>
      <c r="K5" s="80"/>
      <c r="L5" s="39"/>
    </row>
    <row r="6" spans="1:12">
      <c r="A6" s="39"/>
      <c r="B6" s="39"/>
      <c r="C6" s="39"/>
      <c r="D6" s="80"/>
      <c r="E6" s="80"/>
      <c r="F6" s="39"/>
      <c r="G6" s="39"/>
      <c r="H6" s="39"/>
      <c r="J6" s="39"/>
      <c r="K6" s="39"/>
      <c r="L6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0"/>
  <sheetViews>
    <sheetView workbookViewId="0">
      <selection activeCell="DL20" sqref="DL20"/>
    </sheetView>
  </sheetViews>
  <sheetFormatPr defaultColWidth="9" defaultRowHeight="14"/>
  <cols>
    <col min="2" max="2" width="16" customWidth="1"/>
    <col min="3" max="3" width="12.0909090909091" customWidth="1"/>
    <col min="4" max="4" width="13.4545454545455" customWidth="1"/>
    <col min="5" max="5" width="13.0909090909091" customWidth="1"/>
    <col min="6" max="6" width="12.1818181818182" customWidth="1"/>
    <col min="7" max="7" width="12.3636363636364" customWidth="1"/>
    <col min="8" max="8" width="10" customWidth="1"/>
  </cols>
  <sheetData>
    <row r="2" spans="1:12">
      <c r="A2" s="71" t="s">
        <v>135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136</v>
      </c>
      <c r="B4" s="39" t="s">
        <v>41</v>
      </c>
      <c r="C4" s="39" t="s">
        <v>137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39"/>
      <c r="J5" s="80"/>
      <c r="K5" s="80"/>
      <c r="L5" s="39"/>
    </row>
    <row r="6" spans="1:12">
      <c r="A6" s="39"/>
      <c r="B6" s="39"/>
      <c r="C6" s="39"/>
      <c r="D6" s="79"/>
      <c r="E6" s="79"/>
      <c r="F6" s="39"/>
      <c r="G6" s="39"/>
      <c r="H6" s="39"/>
      <c r="J6" s="80"/>
      <c r="K6" s="80"/>
      <c r="L6" s="39"/>
    </row>
    <row r="7" spans="1:12">
      <c r="A7" s="39"/>
      <c r="B7" s="39"/>
      <c r="C7" s="39"/>
      <c r="D7" s="79"/>
      <c r="E7" s="79"/>
      <c r="F7" s="39"/>
      <c r="G7" s="39"/>
      <c r="H7" s="39"/>
      <c r="J7" s="80"/>
      <c r="K7" s="80"/>
      <c r="L7" s="39"/>
    </row>
    <row r="8" spans="1:12">
      <c r="A8" s="39"/>
      <c r="B8" s="39"/>
      <c r="C8" s="39"/>
      <c r="D8" s="79"/>
      <c r="E8" s="79"/>
      <c r="F8" s="39"/>
      <c r="G8" s="39"/>
      <c r="H8" s="39"/>
      <c r="J8" s="39"/>
      <c r="K8" s="39"/>
      <c r="L8" s="39"/>
    </row>
    <row r="9" spans="1:12">
      <c r="A9" s="39"/>
      <c r="B9" s="39"/>
      <c r="C9" s="39"/>
      <c r="D9" s="79"/>
      <c r="E9" s="79"/>
      <c r="F9" s="39"/>
      <c r="G9" s="39"/>
      <c r="H9" s="39"/>
    </row>
    <row r="10" spans="1:12">
      <c r="A10" s="39"/>
      <c r="B10" s="39"/>
      <c r="C10" s="39"/>
      <c r="D10" s="79"/>
      <c r="E10" s="79"/>
      <c r="F10" s="39"/>
      <c r="G10" s="39"/>
      <c r="H10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2" max="2" width="15.2727272727273" customWidth="1"/>
    <col min="3" max="3" width="12.1818181818182" customWidth="1"/>
    <col min="4" max="4" width="10.2727272727273" customWidth="1"/>
    <col min="5" max="5" width="10" customWidth="1"/>
    <col min="6" max="6" width="12" customWidth="1"/>
  </cols>
  <sheetData>
    <row r="2" spans="1:12">
      <c r="A2" s="71" t="s">
        <v>138</v>
      </c>
      <c r="B2" s="71"/>
      <c r="C2" s="71"/>
      <c r="D2" s="71"/>
      <c r="E2" s="71"/>
    </row>
    <row r="3" ht="42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139</v>
      </c>
      <c r="B4" s="39" t="s">
        <v>42</v>
      </c>
      <c r="C4" s="39" t="s">
        <v>140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39"/>
      <c r="J5" s="80"/>
      <c r="K5" s="80"/>
      <c r="L5" s="39"/>
    </row>
    <row r="6" spans="1:12">
      <c r="A6" s="39"/>
      <c r="B6" s="39"/>
      <c r="C6" s="39"/>
      <c r="D6" s="79"/>
      <c r="E6" s="79"/>
      <c r="F6" s="39"/>
      <c r="G6" s="39"/>
      <c r="H6" s="39"/>
      <c r="J6" s="39"/>
      <c r="K6" s="39"/>
      <c r="L6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R6"/>
  <sheetViews>
    <sheetView topLeftCell="G1" workbookViewId="0">
      <selection activeCell="DL20" sqref="DL20"/>
    </sheetView>
  </sheetViews>
  <sheetFormatPr defaultColWidth="9" defaultRowHeight="14" outlineLevelRow="5"/>
  <cols>
    <col min="8" max="8" width="17.7272727272727" customWidth="1"/>
    <col min="9" max="9" width="10.8181818181818" customWidth="1"/>
    <col min="10" max="10" width="15.2727272727273" customWidth="1"/>
    <col min="11" max="11" width="14.5454545454545" customWidth="1"/>
    <col min="12" max="12" width="11.2727272727273" customWidth="1"/>
    <col min="13" max="13" width="12.0909090909091" customWidth="1"/>
    <col min="16" max="16" width="14.6363636363636" customWidth="1"/>
    <col min="17" max="17" width="12" customWidth="1"/>
  </cols>
  <sheetData>
    <row r="2" spans="7:18">
      <c r="G2" s="71" t="s">
        <v>141</v>
      </c>
      <c r="H2" s="71"/>
      <c r="I2" s="71"/>
      <c r="J2" s="71"/>
      <c r="K2" s="71"/>
    </row>
    <row r="3" ht="28" spans="7:18">
      <c r="G3" s="72" t="s">
        <v>59</v>
      </c>
      <c r="H3" s="73" t="s">
        <v>60</v>
      </c>
      <c r="I3" s="73" t="s">
        <v>61</v>
      </c>
      <c r="J3" s="73" t="s">
        <v>62</v>
      </c>
      <c r="K3" s="73" t="s">
        <v>63</v>
      </c>
      <c r="L3" s="73" t="s">
        <v>64</v>
      </c>
      <c r="M3" s="73" t="s">
        <v>65</v>
      </c>
      <c r="N3" s="73" t="s">
        <v>66</v>
      </c>
      <c r="O3" s="74"/>
      <c r="P3" s="75" t="s">
        <v>67</v>
      </c>
      <c r="Q3" s="75"/>
      <c r="R3" s="76"/>
    </row>
    <row r="4" spans="7:18">
      <c r="G4" s="144" t="s">
        <v>142</v>
      </c>
      <c r="H4" s="39" t="s">
        <v>55</v>
      </c>
      <c r="I4" s="39" t="s">
        <v>68</v>
      </c>
      <c r="J4" s="39"/>
      <c r="K4" s="39"/>
      <c r="L4" s="78">
        <v>21</v>
      </c>
      <c r="M4" s="78">
        <v>0</v>
      </c>
      <c r="N4" s="78">
        <f>SUM(L4:M4)</f>
        <v>21</v>
      </c>
      <c r="P4" s="78" t="s">
        <v>69</v>
      </c>
      <c r="Q4" s="39"/>
      <c r="R4" s="78" t="s">
        <v>70</v>
      </c>
    </row>
    <row r="5" spans="7:18">
      <c r="G5" s="39"/>
      <c r="H5" s="39"/>
      <c r="I5" s="39"/>
      <c r="J5" s="79"/>
      <c r="K5" s="79"/>
      <c r="L5" s="39"/>
      <c r="M5" s="39"/>
      <c r="N5" s="39"/>
      <c r="P5" s="79"/>
      <c r="Q5" s="79"/>
      <c r="R5" s="39"/>
    </row>
    <row r="6" spans="7:18">
      <c r="G6" s="39"/>
      <c r="H6" s="39"/>
      <c r="I6" s="39"/>
      <c r="J6" s="80"/>
      <c r="K6" s="80"/>
      <c r="L6" s="39"/>
      <c r="M6" s="39"/>
      <c r="N6" s="39"/>
      <c r="P6" s="39"/>
      <c r="Q6" s="39"/>
      <c r="R6" s="39"/>
    </row>
  </sheetData>
  <mergeCells count="2">
    <mergeCell ref="G2:J2"/>
    <mergeCell ref="P3:Q3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"/>
  <sheetViews>
    <sheetView workbookViewId="0">
      <selection activeCell="DL20" sqref="DL20"/>
    </sheetView>
  </sheetViews>
  <sheetFormatPr defaultColWidth="9" defaultRowHeight="14"/>
  <cols>
    <col min="2" max="2" width="15.2727272727273" customWidth="1"/>
    <col min="3" max="3" width="13.6363636363636" customWidth="1"/>
    <col min="4" max="4" width="14.9090909090909" customWidth="1"/>
    <col min="5" max="5" width="13.2727272727273" customWidth="1"/>
    <col min="6" max="7" width="11.8181818181818" customWidth="1"/>
  </cols>
  <sheetData>
    <row r="2" spans="1:12">
      <c r="A2" s="71" t="s">
        <v>143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144</v>
      </c>
      <c r="B4" s="39" t="s">
        <v>145</v>
      </c>
      <c r="C4" s="39" t="s">
        <v>146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39"/>
      <c r="J5" s="80">
        <v>45902</v>
      </c>
      <c r="K5" s="80"/>
      <c r="L5" s="39">
        <v>1</v>
      </c>
    </row>
    <row r="6" spans="1:12">
      <c r="A6" s="39"/>
      <c r="B6" s="39"/>
      <c r="C6" s="39"/>
      <c r="D6" s="79"/>
      <c r="E6" s="79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79"/>
      <c r="E7" s="79"/>
      <c r="F7" s="39"/>
      <c r="G7" s="39"/>
      <c r="H7" s="39"/>
    </row>
    <row r="8" spans="1:12">
      <c r="A8" s="39"/>
      <c r="B8" s="39"/>
      <c r="C8" s="39"/>
      <c r="D8" s="79"/>
      <c r="E8" s="79"/>
      <c r="F8" s="39"/>
      <c r="G8" s="39"/>
      <c r="H8" s="39"/>
    </row>
    <row r="9" spans="1:12">
      <c r="A9" s="39"/>
      <c r="B9" s="39"/>
      <c r="C9" s="39"/>
      <c r="D9" s="39"/>
      <c r="E9" s="39"/>
      <c r="F9" s="39"/>
      <c r="G9" s="39"/>
      <c r="H9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"/>
  <sheetViews>
    <sheetView workbookViewId="0">
      <selection activeCell="DL20" sqref="DL20"/>
    </sheetView>
  </sheetViews>
  <sheetFormatPr defaultColWidth="9" defaultRowHeight="14" outlineLevelRow="7"/>
  <cols>
    <col min="2" max="2" width="17" customWidth="1"/>
    <col min="3" max="3" width="13.3636363636364" customWidth="1"/>
    <col min="4" max="4" width="13.5454545454545" customWidth="1"/>
    <col min="5" max="5" width="16.4545454545455" customWidth="1"/>
    <col min="6" max="6" width="10.7272727272727" customWidth="1"/>
    <col min="7" max="7" width="11.4545454545455" customWidth="1"/>
  </cols>
  <sheetData>
    <row r="2" spans="1:12">
      <c r="A2" s="71" t="s">
        <v>147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148</v>
      </c>
      <c r="B4" s="39" t="s">
        <v>149</v>
      </c>
      <c r="C4" s="39" t="s">
        <v>99</v>
      </c>
      <c r="D4" s="39"/>
      <c r="E4" s="39"/>
      <c r="F4" s="78">
        <v>21</v>
      </c>
      <c r="G4" s="78">
        <v>5</v>
      </c>
      <c r="H4" s="78">
        <f>SUM(F4:G4)</f>
        <v>26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39"/>
      <c r="J5" s="79">
        <v>45813</v>
      </c>
      <c r="K5" s="79">
        <v>45813</v>
      </c>
      <c r="L5" s="39">
        <v>1</v>
      </c>
    </row>
    <row r="6" spans="1:12">
      <c r="A6" s="39"/>
      <c r="B6" s="39"/>
      <c r="C6" s="39"/>
      <c r="D6" s="79"/>
      <c r="E6" s="79"/>
      <c r="F6" s="39"/>
      <c r="G6" s="39"/>
      <c r="H6" s="39"/>
      <c r="J6" s="39"/>
      <c r="K6" s="39"/>
      <c r="L6" s="39"/>
    </row>
    <row r="7" spans="1:12">
      <c r="A7" s="39"/>
      <c r="B7" s="39"/>
      <c r="C7" s="39"/>
      <c r="D7" s="79"/>
      <c r="E7" s="79"/>
      <c r="F7" s="39"/>
      <c r="G7" s="39"/>
      <c r="H7" s="39"/>
    </row>
    <row r="8" spans="1:12">
      <c r="D8" s="81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2" max="2" width="17.3636363636364" customWidth="1"/>
    <col min="3" max="3" width="11.6363636363636" customWidth="1"/>
    <col min="4" max="4" width="14.5454545454545" customWidth="1"/>
    <col min="5" max="5" width="11.1818181818182" customWidth="1"/>
    <col min="6" max="6" width="11.7272727272727" customWidth="1"/>
    <col min="7" max="7" width="12" customWidth="1"/>
  </cols>
  <sheetData>
    <row r="2" spans="1:12">
      <c r="A2" s="71" t="s">
        <v>150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151</v>
      </c>
      <c r="B4" s="39" t="s">
        <v>152</v>
      </c>
      <c r="C4" s="39" t="s">
        <v>137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80"/>
      <c r="E5" s="80"/>
      <c r="F5" s="39"/>
      <c r="G5" s="39"/>
      <c r="H5" s="39"/>
      <c r="J5" s="80"/>
      <c r="K5" s="80"/>
      <c r="L5" s="39"/>
    </row>
    <row r="6" spans="1:12">
      <c r="A6" s="39"/>
      <c r="B6" s="39"/>
      <c r="C6" s="39"/>
      <c r="D6" s="80"/>
      <c r="E6" s="80"/>
      <c r="F6" s="39"/>
      <c r="G6" s="39"/>
      <c r="H6" s="39"/>
      <c r="J6" s="39"/>
      <c r="K6" s="39"/>
      <c r="L6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2" max="2" width="17.3636363636364" customWidth="1"/>
    <col min="3" max="3" width="11.9090909090909" customWidth="1"/>
    <col min="4" max="4" width="12.9090909090909" customWidth="1"/>
    <col min="5" max="5" width="11.5454545454545" customWidth="1"/>
  </cols>
  <sheetData>
    <row r="2" spans="1:12">
      <c r="A2" s="71" t="s">
        <v>153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151</v>
      </c>
      <c r="B4" s="39" t="s">
        <v>48</v>
      </c>
      <c r="C4" s="39" t="s">
        <v>137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78"/>
      <c r="J5" s="80"/>
      <c r="K5" s="80"/>
      <c r="L5" s="39"/>
    </row>
    <row r="6" spans="1:12">
      <c r="A6" s="39"/>
      <c r="B6" s="39"/>
      <c r="C6" s="39"/>
      <c r="D6" s="79"/>
      <c r="E6" s="79"/>
      <c r="F6" s="39"/>
      <c r="G6" s="39"/>
      <c r="H6" s="78"/>
      <c r="J6" s="39"/>
      <c r="K6" s="39"/>
      <c r="L6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2" max="2" width="17.3636363636364" customWidth="1"/>
    <col min="3" max="3" width="11.9090909090909" customWidth="1"/>
    <col min="4" max="4" width="12.9090909090909" customWidth="1"/>
    <col min="5" max="5" width="11.5454545454545" customWidth="1"/>
  </cols>
  <sheetData>
    <row r="2" spans="1:12">
      <c r="A2" s="71" t="s">
        <v>154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155</v>
      </c>
      <c r="B4" s="39" t="s">
        <v>50</v>
      </c>
      <c r="C4" s="39" t="s">
        <v>68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78"/>
      <c r="J5" s="80"/>
      <c r="K5" s="80"/>
      <c r="L5" s="39"/>
    </row>
    <row r="6" spans="1:12">
      <c r="A6" s="39"/>
      <c r="B6" s="39"/>
      <c r="C6" s="39"/>
      <c r="D6" s="79"/>
      <c r="E6" s="79"/>
      <c r="F6" s="39"/>
      <c r="G6" s="39"/>
      <c r="H6" s="78"/>
      <c r="J6" s="39"/>
      <c r="K6" s="39"/>
      <c r="L6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2" max="2" width="17.3636363636364" customWidth="1"/>
    <col min="3" max="3" width="11.9090909090909" customWidth="1"/>
    <col min="4" max="4" width="12.9090909090909" customWidth="1"/>
    <col min="5" max="5" width="11.5454545454545" customWidth="1"/>
  </cols>
  <sheetData>
    <row r="2" spans="1:12">
      <c r="A2" s="71" t="s">
        <v>156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157</v>
      </c>
      <c r="B4" s="39" t="s">
        <v>54</v>
      </c>
      <c r="C4" s="39" t="s">
        <v>68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78"/>
      <c r="J5" s="80"/>
      <c r="K5" s="80"/>
      <c r="L5" s="39"/>
    </row>
    <row r="6" spans="1:12">
      <c r="A6" s="39"/>
      <c r="B6" s="39"/>
      <c r="C6" s="39"/>
      <c r="D6" s="79"/>
      <c r="E6" s="79"/>
      <c r="F6" s="39"/>
      <c r="G6" s="39"/>
      <c r="H6" s="78"/>
      <c r="J6" s="39"/>
      <c r="K6" s="39"/>
      <c r="L6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2" max="2" width="17.3636363636364" customWidth="1"/>
    <col min="3" max="3" width="11.9090909090909" customWidth="1"/>
    <col min="4" max="4" width="12.9090909090909" customWidth="1"/>
    <col min="5" max="5" width="11.5454545454545" customWidth="1"/>
  </cols>
  <sheetData>
    <row r="2" spans="1:12">
      <c r="A2" s="71" t="s">
        <v>158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159</v>
      </c>
      <c r="B4" s="39" t="s">
        <v>51</v>
      </c>
      <c r="C4" s="39" t="s">
        <v>68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78"/>
      <c r="J5" s="80"/>
      <c r="K5" s="80"/>
      <c r="L5" s="39"/>
    </row>
    <row r="6" spans="1:12">
      <c r="A6" s="39"/>
      <c r="B6" s="39"/>
      <c r="C6" s="39"/>
      <c r="D6" s="79"/>
      <c r="E6" s="79"/>
      <c r="F6" s="39"/>
      <c r="G6" s="39"/>
      <c r="H6" s="78"/>
      <c r="J6" s="39"/>
      <c r="K6" s="39"/>
      <c r="L6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DL20" sqref="DL20"/>
    </sheetView>
  </sheetViews>
  <sheetFormatPr defaultColWidth="9" defaultRowHeight="14" outlineLevelRow="5"/>
  <cols>
    <col min="2" max="2" width="17.3636363636364" customWidth="1"/>
    <col min="3" max="3" width="11.9090909090909" customWidth="1"/>
    <col min="4" max="4" width="12.9090909090909" customWidth="1"/>
    <col min="5" max="5" width="11.5454545454545" customWidth="1"/>
  </cols>
  <sheetData>
    <row r="2" spans="1:12">
      <c r="A2" s="71" t="s">
        <v>160</v>
      </c>
      <c r="B2" s="71"/>
      <c r="C2" s="71"/>
      <c r="D2" s="71"/>
      <c r="E2" s="71"/>
    </row>
    <row r="3" ht="28" spans="1:12">
      <c r="A3" s="72" t="s">
        <v>59</v>
      </c>
      <c r="B3" s="73" t="s">
        <v>60</v>
      </c>
      <c r="C3" s="73" t="s">
        <v>61</v>
      </c>
      <c r="D3" s="73" t="s">
        <v>62</v>
      </c>
      <c r="E3" s="73" t="s">
        <v>63</v>
      </c>
      <c r="F3" s="73" t="s">
        <v>64</v>
      </c>
      <c r="G3" s="73" t="s">
        <v>65</v>
      </c>
      <c r="H3" s="73" t="s">
        <v>66</v>
      </c>
      <c r="I3" s="74"/>
      <c r="J3" s="75" t="s">
        <v>67</v>
      </c>
      <c r="K3" s="75"/>
      <c r="L3" s="76"/>
    </row>
    <row r="4" spans="1:12">
      <c r="A4" s="144" t="s">
        <v>159</v>
      </c>
      <c r="B4" s="39" t="s">
        <v>49</v>
      </c>
      <c r="C4" s="39" t="s">
        <v>68</v>
      </c>
      <c r="D4" s="39"/>
      <c r="E4" s="39"/>
      <c r="F4" s="78">
        <v>21</v>
      </c>
      <c r="G4" s="78">
        <v>0</v>
      </c>
      <c r="H4" s="78">
        <f>SUM(F4:G4)</f>
        <v>21</v>
      </c>
      <c r="J4" s="78" t="s">
        <v>69</v>
      </c>
      <c r="K4" s="39"/>
      <c r="L4" s="78" t="s">
        <v>70</v>
      </c>
    </row>
    <row r="5" spans="1:12">
      <c r="A5" s="39"/>
      <c r="B5" s="39"/>
      <c r="C5" s="39"/>
      <c r="D5" s="79"/>
      <c r="E5" s="79"/>
      <c r="F5" s="39"/>
      <c r="G5" s="39"/>
      <c r="H5" s="78"/>
      <c r="J5" s="80"/>
      <c r="K5" s="80"/>
      <c r="L5" s="39"/>
    </row>
    <row r="6" spans="1:12">
      <c r="A6" s="39"/>
      <c r="B6" s="39"/>
      <c r="C6" s="39"/>
      <c r="D6" s="79"/>
      <c r="E6" s="79"/>
      <c r="F6" s="39"/>
      <c r="G6" s="39"/>
      <c r="H6" s="78"/>
      <c r="J6" s="39"/>
      <c r="K6" s="39"/>
      <c r="L6" s="39"/>
    </row>
  </sheetData>
  <mergeCells count="2">
    <mergeCell ref="A2:D2"/>
    <mergeCell ref="J3:K3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view="pageBreakPreview" zoomScale="60" zoomScaleNormal="100" workbookViewId="0">
      <selection activeCell="DL20" sqref="DL20"/>
    </sheetView>
  </sheetViews>
  <sheetFormatPr defaultColWidth="9" defaultRowHeight="14" outlineLevelCol="5"/>
  <cols>
    <col min="2" max="2" width="13.9090909090909" customWidth="1"/>
  </cols>
  <sheetData>
    <row r="1" ht="14.75"/>
    <row r="2" ht="21.75" spans="1:6">
      <c r="B2" s="64" t="s">
        <v>2</v>
      </c>
      <c r="C2" s="65" t="s">
        <v>3</v>
      </c>
      <c r="D2" s="66" t="s">
        <v>4</v>
      </c>
      <c r="E2" s="66" t="s">
        <v>5</v>
      </c>
    </row>
    <row r="3" spans="1:6">
      <c r="A3" s="67">
        <f t="shared" ref="A3:A4" si="0">SUM(A2+1)</f>
        <v>1</v>
      </c>
      <c r="B3" t="s">
        <v>33</v>
      </c>
      <c r="C3" s="68">
        <v>5</v>
      </c>
      <c r="D3" s="69">
        <v>21</v>
      </c>
      <c r="E3" s="69">
        <f t="shared" ref="E3:E4" si="1">SUM(C3:D3)</f>
        <v>26</v>
      </c>
    </row>
    <row r="4" spans="1:6">
      <c r="A4" s="67">
        <f t="shared" si="0"/>
        <v>2</v>
      </c>
      <c r="B4" t="s">
        <v>35</v>
      </c>
      <c r="C4" s="68">
        <v>5</v>
      </c>
      <c r="D4" s="69">
        <v>21</v>
      </c>
      <c r="E4" s="69">
        <f t="shared" si="1"/>
        <v>26</v>
      </c>
      <c r="F4" t="s">
        <v>161</v>
      </c>
    </row>
    <row r="5" spans="1:6">
      <c r="A5" s="67">
        <f t="shared" ref="A5" si="2">SUM(A4+1)</f>
        <v>3</v>
      </c>
      <c r="B5" t="s">
        <v>43</v>
      </c>
      <c r="C5" s="70">
        <v>5</v>
      </c>
      <c r="D5" s="69">
        <v>21</v>
      </c>
      <c r="E5" s="69">
        <f t="shared" ref="E5:E11" si="3">SUM(C5:D5)</f>
        <v>26</v>
      </c>
      <c r="F5" t="s">
        <v>162</v>
      </c>
    </row>
    <row r="6" spans="1:6">
      <c r="A6" s="67">
        <f t="shared" ref="A6:A11" si="4">SUM(A5+1)</f>
        <v>4</v>
      </c>
      <c r="B6" t="s">
        <v>25</v>
      </c>
      <c r="C6" s="68">
        <v>5</v>
      </c>
      <c r="D6" s="69">
        <v>21</v>
      </c>
      <c r="E6" s="69">
        <f t="shared" si="3"/>
        <v>26</v>
      </c>
      <c r="F6" t="s">
        <v>163</v>
      </c>
    </row>
    <row r="7" spans="1:6">
      <c r="A7" s="67">
        <f t="shared" si="4"/>
        <v>5</v>
      </c>
      <c r="B7" t="s">
        <v>30</v>
      </c>
      <c r="C7" s="68">
        <v>5</v>
      </c>
      <c r="D7" s="69">
        <v>21</v>
      </c>
      <c r="E7" s="69">
        <f t="shared" si="3"/>
        <v>26</v>
      </c>
    </row>
    <row r="8" spans="1:6">
      <c r="A8" s="67">
        <f t="shared" si="4"/>
        <v>6</v>
      </c>
      <c r="B8" t="s">
        <v>31</v>
      </c>
      <c r="C8" s="68">
        <v>4</v>
      </c>
      <c r="D8" s="69">
        <v>21</v>
      </c>
      <c r="E8" s="69">
        <f t="shared" si="3"/>
        <v>25</v>
      </c>
    </row>
    <row r="9" spans="1:6">
      <c r="A9" s="67">
        <f t="shared" si="4"/>
        <v>7</v>
      </c>
      <c r="B9" t="s">
        <v>23</v>
      </c>
      <c r="C9" s="68">
        <v>5</v>
      </c>
      <c r="D9" s="69">
        <v>21</v>
      </c>
      <c r="E9" s="69">
        <f t="shared" si="3"/>
        <v>26</v>
      </c>
      <c r="F9" t="s">
        <v>164</v>
      </c>
    </row>
    <row r="10" spans="1:6">
      <c r="A10" s="67">
        <f t="shared" si="4"/>
        <v>8</v>
      </c>
      <c r="B10" t="s">
        <v>28</v>
      </c>
      <c r="C10" s="68">
        <v>5</v>
      </c>
      <c r="D10" s="69">
        <v>21</v>
      </c>
      <c r="E10" s="69">
        <f t="shared" si="3"/>
        <v>26</v>
      </c>
    </row>
    <row r="11" spans="1:6">
      <c r="A11" s="67">
        <f t="shared" si="4"/>
        <v>9</v>
      </c>
      <c r="B11" t="s">
        <v>40</v>
      </c>
      <c r="C11" s="70">
        <v>5</v>
      </c>
      <c r="D11" s="69">
        <v>21</v>
      </c>
      <c r="E11" s="69">
        <f t="shared" si="3"/>
        <v>26</v>
      </c>
      <c r="F11" t="s">
        <v>165</v>
      </c>
    </row>
  </sheetData>
  <pageMargins left="0.7" right="0.7" top="0.75" bottom="0.75" header="0.3" footer="0.3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J205"/>
  <sheetViews>
    <sheetView tabSelected="1" zoomScale="99" zoomScaleNormal="99" workbookViewId="0">
      <pane xSplit="9" ySplit="1" topLeftCell="DH21" activePane="bottomRight" state="frozen"/>
      <selection/>
      <selection pane="topRight"/>
      <selection pane="bottomLeft"/>
      <selection pane="bottomRight" activeCell="I20" sqref="I20"/>
    </sheetView>
  </sheetViews>
  <sheetFormatPr defaultColWidth="9" defaultRowHeight="14"/>
  <cols>
    <col min="1" max="1" width="9" customWidth="1"/>
    <col min="2" max="2" width="22" customWidth="1"/>
    <col min="3" max="3" width="32.3636363636364" customWidth="1"/>
    <col min="4" max="4" width="9.09090909090909" customWidth="1"/>
    <col min="5" max="5" width="12.5454545454545" customWidth="1"/>
    <col min="6" max="6" width="8.27272727272727" customWidth="1"/>
    <col min="10" max="10" width="5" style="1" customWidth="1"/>
    <col min="11" max="12" width="5" customWidth="1"/>
    <col min="13" max="13" width="5" style="2" customWidth="1"/>
    <col min="14" max="19" width="5" customWidth="1"/>
    <col min="20" max="20" width="5" style="2" customWidth="1"/>
    <col min="21" max="26" width="5" customWidth="1"/>
    <col min="27" max="27" width="5" style="2" customWidth="1"/>
    <col min="28" max="33" width="5" customWidth="1"/>
    <col min="34" max="34" width="5" style="2" customWidth="1"/>
    <col min="35" max="39" width="5" customWidth="1"/>
    <col min="40" max="40" width="5" style="3" customWidth="1"/>
    <col min="41" max="41" width="5" style="2" customWidth="1"/>
    <col min="42" max="47" width="5" customWidth="1"/>
    <col min="48" max="48" width="5" style="2" customWidth="1"/>
    <col min="49" max="54" width="5" customWidth="1"/>
    <col min="55" max="55" width="5" style="2" customWidth="1"/>
    <col min="56" max="61" width="5" customWidth="1"/>
    <col min="62" max="62" width="5" style="2" customWidth="1"/>
    <col min="63" max="67" width="5" customWidth="1"/>
    <col min="68" max="68" width="5" style="3" customWidth="1"/>
    <col min="69" max="69" width="5" style="2" customWidth="1"/>
    <col min="70" max="75" width="5" customWidth="1"/>
    <col min="76" max="76" width="5" style="2" customWidth="1"/>
    <col min="77" max="82" width="5" customWidth="1"/>
    <col min="83" max="83" width="5" style="2" customWidth="1"/>
    <col min="84" max="87" width="5" customWidth="1"/>
    <col min="88" max="88" width="5" style="1" customWidth="1"/>
    <col min="89" max="89" width="5" customWidth="1"/>
    <col min="90" max="90" width="5" style="2" customWidth="1"/>
    <col min="91" max="96" width="5" customWidth="1"/>
    <col min="97" max="97" width="5" style="2" customWidth="1"/>
    <col min="98" max="98" width="5" customWidth="1"/>
    <col min="99" max="99" width="5" style="3" customWidth="1"/>
    <col min="100" max="101" width="5" customWidth="1"/>
    <col min="102" max="102" width="5" style="1" customWidth="1"/>
    <col min="103" max="103" width="5" customWidth="1"/>
    <col min="104" max="105" width="5" style="1" customWidth="1"/>
    <col min="106" max="110" width="5" customWidth="1"/>
    <col min="111" max="111" width="5" style="2" customWidth="1"/>
    <col min="112" max="117" width="5" customWidth="1"/>
    <col min="118" max="118" width="5" style="2" customWidth="1"/>
    <col min="119" max="124" width="5" customWidth="1"/>
    <col min="125" max="125" width="5" style="2" customWidth="1"/>
    <col min="126" max="128" width="5" customWidth="1"/>
    <col min="129" max="129" width="5" style="3" customWidth="1"/>
    <col min="130" max="130" width="5" style="1" customWidth="1"/>
    <col min="131" max="131" width="5" customWidth="1"/>
    <col min="132" max="132" width="5" style="2" customWidth="1"/>
    <col min="133" max="138" width="5" customWidth="1"/>
    <col min="139" max="139" width="5" style="2" customWidth="1"/>
    <col min="140" max="145" width="5" customWidth="1"/>
    <col min="146" max="146" width="5" style="2" customWidth="1"/>
    <col min="147" max="152" width="5" customWidth="1"/>
    <col min="153" max="153" width="5" style="2" customWidth="1"/>
    <col min="154" max="155" width="5" customWidth="1"/>
    <col min="156" max="156" width="5" style="1" customWidth="1"/>
    <col min="157" max="159" width="5" customWidth="1"/>
    <col min="160" max="160" width="5" style="4" customWidth="1"/>
    <col min="161" max="161" width="5" style="1" customWidth="1"/>
    <col min="162" max="166" width="5" customWidth="1"/>
    <col min="167" max="167" width="5" style="2" customWidth="1"/>
    <col min="168" max="173" width="5" customWidth="1"/>
    <col min="174" max="174" width="5" style="2" customWidth="1"/>
    <col min="175" max="180" width="5" customWidth="1"/>
    <col min="181" max="181" width="5" style="2" customWidth="1"/>
    <col min="182" max="187" width="5" customWidth="1"/>
    <col min="188" max="188" width="5" style="2" customWidth="1"/>
    <col min="189" max="189" width="5" customWidth="1"/>
    <col min="190" max="190" width="5" style="3" customWidth="1"/>
    <col min="191" max="194" width="5" customWidth="1"/>
    <col min="195" max="195" width="5" style="2" customWidth="1"/>
    <col min="196" max="201" width="5" customWidth="1"/>
    <col min="202" max="202" width="5" style="2" customWidth="1"/>
    <col min="203" max="208" width="5" customWidth="1"/>
    <col min="209" max="209" width="5" style="2" customWidth="1"/>
    <col min="210" max="215" width="5" customWidth="1"/>
    <col min="216" max="216" width="5" style="2" customWidth="1"/>
    <col min="217" max="220" width="5" customWidth="1"/>
    <col min="221" max="221" width="5" style="3" customWidth="1"/>
    <col min="222" max="222" width="5" customWidth="1"/>
    <col min="223" max="223" width="5" style="2" customWidth="1"/>
    <col min="224" max="229" width="5" customWidth="1"/>
    <col min="230" max="230" width="5" style="2" customWidth="1"/>
    <col min="231" max="236" width="5" customWidth="1"/>
    <col min="237" max="237" width="5" style="2" customWidth="1"/>
    <col min="238" max="243" width="5" customWidth="1"/>
    <col min="244" max="244" width="5" style="2" customWidth="1"/>
    <col min="245" max="250" width="5" customWidth="1"/>
    <col min="251" max="251" width="5" style="2" customWidth="1"/>
    <col min="252" max="252" width="5" style="3" customWidth="1"/>
    <col min="253" max="257" width="5" customWidth="1"/>
    <col min="258" max="258" width="5" style="2" customWidth="1"/>
    <col min="259" max="264" width="5" customWidth="1"/>
    <col min="265" max="265" width="5" style="2" customWidth="1"/>
    <col min="266" max="271" width="5" customWidth="1"/>
    <col min="272" max="272" width="5" style="2" customWidth="1"/>
    <col min="273" max="278" width="5" customWidth="1"/>
    <col min="279" max="279" width="5" style="2" customWidth="1"/>
    <col min="280" max="281" width="5" customWidth="1"/>
    <col min="282" max="282" width="5" style="3" customWidth="1"/>
    <col min="283" max="285" width="5" customWidth="1"/>
    <col min="286" max="286" width="5" style="2" customWidth="1"/>
    <col min="287" max="291" width="5" customWidth="1"/>
    <col min="292" max="292" width="5" style="1" customWidth="1"/>
    <col min="293" max="293" width="5" style="2" customWidth="1"/>
    <col min="294" max="299" width="5" customWidth="1"/>
    <col min="300" max="300" width="5" style="2" customWidth="1"/>
    <col min="301" max="301" width="5" customWidth="1"/>
    <col min="302" max="302" width="5" style="1" customWidth="1"/>
    <col min="303" max="306" width="5" customWidth="1"/>
    <col min="307" max="307" width="5" style="2" customWidth="1"/>
    <col min="308" max="312" width="5" customWidth="1"/>
    <col min="313" max="313" width="5" style="3" customWidth="1"/>
    <col min="314" max="314" width="5" style="2" customWidth="1"/>
    <col min="315" max="320" width="5" customWidth="1"/>
    <col min="321" max="321" width="5" style="2" customWidth="1"/>
    <col min="322" max="327" width="5" customWidth="1"/>
    <col min="328" max="328" width="5" style="2" customWidth="1"/>
    <col min="329" max="334" width="5" customWidth="1"/>
    <col min="335" max="335" width="5" style="2" customWidth="1"/>
    <col min="336" max="341" width="5" customWidth="1"/>
    <col min="342" max="342" width="5" style="2" customWidth="1"/>
    <col min="343" max="343" width="5" style="3" customWidth="1"/>
    <col min="344" max="348" width="5" customWidth="1"/>
    <col min="349" max="349" width="5" style="2" customWidth="1"/>
    <col min="350" max="354" width="5" customWidth="1"/>
    <col min="355" max="355" width="5" style="1" customWidth="1"/>
    <col min="356" max="356" width="5" style="2" customWidth="1"/>
    <col min="357" max="362" width="5" customWidth="1"/>
    <col min="363" max="363" width="5" style="2" customWidth="1"/>
    <col min="364" max="367" width="5" customWidth="1"/>
    <col min="368" max="369" width="5" style="1" customWidth="1"/>
    <col min="370" max="370" width="5" style="2" customWidth="1"/>
    <col min="371" max="373" width="5" customWidth="1"/>
    <col min="374" max="374" width="5" style="3" customWidth="1"/>
  </cols>
  <sheetData>
    <row r="1" spans="1:374">
      <c r="J1"/>
      <c r="M1"/>
      <c r="T1"/>
      <c r="AA1"/>
      <c r="AH1"/>
      <c r="AN1"/>
      <c r="AO1"/>
      <c r="AV1"/>
      <c r="BC1"/>
      <c r="BJ1"/>
      <c r="BP1"/>
      <c r="BQ1"/>
      <c r="BX1"/>
      <c r="CE1"/>
      <c r="CJ1"/>
      <c r="CL1"/>
      <c r="CS1"/>
      <c r="CU1"/>
      <c r="CX1"/>
      <c r="CZ1"/>
      <c r="DA1"/>
      <c r="DG1"/>
      <c r="DN1"/>
      <c r="DU1"/>
      <c r="DY1"/>
      <c r="DZ1"/>
      <c r="EB1"/>
      <c r="EI1"/>
      <c r="EP1"/>
      <c r="EW1"/>
      <c r="EZ1"/>
      <c r="FD1"/>
      <c r="FE1"/>
      <c r="FK1"/>
      <c r="FR1"/>
      <c r="FY1"/>
      <c r="GF1"/>
      <c r="GH1"/>
      <c r="GM1"/>
      <c r="GT1"/>
      <c r="HA1"/>
      <c r="HH1"/>
      <c r="HM1"/>
      <c r="HO1"/>
      <c r="HV1"/>
      <c r="IC1"/>
      <c r="IJ1"/>
      <c r="IQ1"/>
      <c r="IR1"/>
      <c r="IX1"/>
      <c r="JE1"/>
      <c r="JL1"/>
      <c r="JS1"/>
      <c r="JV1"/>
      <c r="JZ1"/>
      <c r="KF1"/>
      <c r="KG1"/>
      <c r="KN1"/>
      <c r="KP1"/>
      <c r="KU1"/>
      <c r="LA1"/>
      <c r="LB1"/>
      <c r="LI1"/>
      <c r="LP1"/>
      <c r="LW1"/>
      <c r="MD1"/>
      <c r="ME1"/>
      <c r="MK1"/>
      <c r="MQ1"/>
      <c r="MR1"/>
      <c r="MY1"/>
      <c r="ND1"/>
      <c r="NE1"/>
      <c r="NF1"/>
      <c r="NJ1"/>
    </row>
    <row r="2" spans="1:374">
      <c r="J2" s="5"/>
      <c r="M2"/>
      <c r="T2"/>
      <c r="AA2"/>
      <c r="AH2"/>
      <c r="AN2"/>
      <c r="AO2"/>
      <c r="AV2"/>
      <c r="BC2"/>
      <c r="BJ2"/>
      <c r="BP2"/>
      <c r="BQ2"/>
      <c r="BX2"/>
      <c r="CE2"/>
      <c r="CJ2"/>
      <c r="CL2"/>
      <c r="CS2"/>
      <c r="CU2"/>
      <c r="CX2"/>
      <c r="CZ2"/>
      <c r="DA2"/>
      <c r="DG2"/>
      <c r="DN2"/>
      <c r="DU2"/>
      <c r="DY2"/>
      <c r="DZ2"/>
      <c r="EB2"/>
      <c r="EI2"/>
      <c r="EP2"/>
      <c r="EW2"/>
      <c r="EZ2"/>
      <c r="FD2"/>
      <c r="FE2"/>
      <c r="FK2"/>
      <c r="FR2"/>
      <c r="FY2"/>
      <c r="GF2"/>
      <c r="GH2"/>
      <c r="GM2"/>
      <c r="GT2"/>
      <c r="HA2"/>
      <c r="HH2"/>
      <c r="HM2"/>
      <c r="HO2"/>
      <c r="HV2"/>
      <c r="IC2"/>
      <c r="IJ2"/>
      <c r="IQ2"/>
      <c r="IR2"/>
      <c r="IX2"/>
      <c r="JE2"/>
      <c r="JL2"/>
      <c r="JS2"/>
      <c r="JV2"/>
      <c r="JZ2"/>
      <c r="KF2"/>
      <c r="KG2"/>
      <c r="KN2"/>
      <c r="KP2"/>
      <c r="KU2"/>
      <c r="LA2"/>
      <c r="LB2"/>
      <c r="LI2"/>
      <c r="LP2"/>
      <c r="LW2"/>
      <c r="MD2"/>
      <c r="ME2"/>
      <c r="MK2"/>
      <c r="MQ2"/>
      <c r="MR2"/>
      <c r="MY2"/>
      <c r="ND2"/>
      <c r="NE2"/>
      <c r="NF2"/>
      <c r="NJ2"/>
    </row>
    <row r="3" spans="1:374">
      <c r="J3" s="6" t="s">
        <v>166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8"/>
      <c r="AO3" s="9" t="s">
        <v>167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8"/>
      <c r="BQ3" s="9" t="s">
        <v>168</v>
      </c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8"/>
      <c r="CV3" s="9" t="s">
        <v>169</v>
      </c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8"/>
      <c r="DZ3" s="9" t="s">
        <v>10</v>
      </c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8"/>
      <c r="FE3" s="9" t="s">
        <v>170</v>
      </c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8"/>
      <c r="GI3" s="9" t="s">
        <v>171</v>
      </c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8"/>
      <c r="HN3" s="9" t="s">
        <v>172</v>
      </c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8"/>
      <c r="IS3" s="9" t="s">
        <v>173</v>
      </c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8"/>
      <c r="JW3" s="9" t="s">
        <v>174</v>
      </c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8"/>
      <c r="LB3" s="9" t="s">
        <v>175</v>
      </c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10"/>
      <c r="MF3" s="6" t="s">
        <v>176</v>
      </c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8"/>
    </row>
    <row r="4" spans="1:374">
      <c r="J4" s="11" t="s">
        <v>177</v>
      </c>
      <c r="K4" s="7" t="s">
        <v>178</v>
      </c>
      <c r="L4" s="7" t="s">
        <v>179</v>
      </c>
      <c r="M4" s="12" t="s">
        <v>180</v>
      </c>
      <c r="N4" s="7" t="s">
        <v>181</v>
      </c>
      <c r="O4" s="7" t="s">
        <v>182</v>
      </c>
      <c r="P4" s="7" t="s">
        <v>183</v>
      </c>
      <c r="Q4" s="7" t="s">
        <v>177</v>
      </c>
      <c r="R4" s="7" t="s">
        <v>178</v>
      </c>
      <c r="S4" s="7" t="s">
        <v>179</v>
      </c>
      <c r="T4" s="12" t="s">
        <v>180</v>
      </c>
      <c r="U4" s="7" t="s">
        <v>181</v>
      </c>
      <c r="V4" s="7" t="s">
        <v>182</v>
      </c>
      <c r="W4" s="7" t="s">
        <v>183</v>
      </c>
      <c r="X4" s="7" t="s">
        <v>177</v>
      </c>
      <c r="Y4" s="7" t="s">
        <v>178</v>
      </c>
      <c r="Z4" s="7" t="s">
        <v>179</v>
      </c>
      <c r="AA4" s="12" t="s">
        <v>180</v>
      </c>
      <c r="AB4" s="7" t="s">
        <v>181</v>
      </c>
      <c r="AC4" s="7" t="s">
        <v>182</v>
      </c>
      <c r="AD4" s="7" t="s">
        <v>183</v>
      </c>
      <c r="AE4" s="7" t="s">
        <v>177</v>
      </c>
      <c r="AF4" s="7" t="s">
        <v>178</v>
      </c>
      <c r="AG4" s="7" t="s">
        <v>179</v>
      </c>
      <c r="AH4" s="12" t="s">
        <v>180</v>
      </c>
      <c r="AI4" s="7" t="s">
        <v>181</v>
      </c>
      <c r="AJ4" s="7" t="s">
        <v>182</v>
      </c>
      <c r="AK4" s="7" t="s">
        <v>183</v>
      </c>
      <c r="AL4" s="7" t="s">
        <v>177</v>
      </c>
      <c r="AM4" s="7" t="s">
        <v>178</v>
      </c>
      <c r="AN4" s="8" t="s">
        <v>179</v>
      </c>
      <c r="AO4" s="13" t="s">
        <v>180</v>
      </c>
      <c r="AP4" s="7" t="s">
        <v>181</v>
      </c>
      <c r="AQ4" s="7" t="s">
        <v>182</v>
      </c>
      <c r="AR4" s="7" t="s">
        <v>183</v>
      </c>
      <c r="AS4" s="7" t="s">
        <v>177</v>
      </c>
      <c r="AT4" s="7" t="s">
        <v>178</v>
      </c>
      <c r="AU4" s="7" t="s">
        <v>179</v>
      </c>
      <c r="AV4" s="12" t="s">
        <v>180</v>
      </c>
      <c r="AW4" s="7" t="s">
        <v>181</v>
      </c>
      <c r="AX4" s="7" t="s">
        <v>182</v>
      </c>
      <c r="AY4" s="7" t="s">
        <v>183</v>
      </c>
      <c r="AZ4" s="7" t="s">
        <v>177</v>
      </c>
      <c r="BA4" s="7" t="s">
        <v>178</v>
      </c>
      <c r="BB4" s="7" t="s">
        <v>179</v>
      </c>
      <c r="BC4" s="12" t="s">
        <v>180</v>
      </c>
      <c r="BD4" s="7" t="s">
        <v>181</v>
      </c>
      <c r="BE4" s="7" t="s">
        <v>182</v>
      </c>
      <c r="BF4" s="7" t="s">
        <v>183</v>
      </c>
      <c r="BG4" s="7" t="s">
        <v>177</v>
      </c>
      <c r="BH4" s="7" t="s">
        <v>178</v>
      </c>
      <c r="BI4" s="7" t="s">
        <v>179</v>
      </c>
      <c r="BJ4" s="12" t="s">
        <v>180</v>
      </c>
      <c r="BK4" s="7" t="s">
        <v>181</v>
      </c>
      <c r="BL4" s="7" t="s">
        <v>182</v>
      </c>
      <c r="BM4" s="7" t="s">
        <v>183</v>
      </c>
      <c r="BN4" s="7" t="s">
        <v>177</v>
      </c>
      <c r="BO4" s="7" t="s">
        <v>178</v>
      </c>
      <c r="BP4" s="8" t="s">
        <v>179</v>
      </c>
      <c r="BQ4" s="13" t="s">
        <v>180</v>
      </c>
      <c r="BR4" s="7" t="s">
        <v>181</v>
      </c>
      <c r="BS4" s="7" t="s">
        <v>182</v>
      </c>
      <c r="BT4" s="7" t="s">
        <v>183</v>
      </c>
      <c r="BU4" s="7" t="s">
        <v>177</v>
      </c>
      <c r="BV4" s="7" t="s">
        <v>178</v>
      </c>
      <c r="BW4" s="7" t="s">
        <v>179</v>
      </c>
      <c r="BX4" s="13" t="s">
        <v>180</v>
      </c>
      <c r="BY4" s="7" t="s">
        <v>181</v>
      </c>
      <c r="BZ4" s="7" t="s">
        <v>182</v>
      </c>
      <c r="CA4" s="7" t="s">
        <v>183</v>
      </c>
      <c r="CB4" s="7" t="s">
        <v>177</v>
      </c>
      <c r="CC4" s="7" t="s">
        <v>178</v>
      </c>
      <c r="CD4" s="7" t="s">
        <v>179</v>
      </c>
      <c r="CE4" s="13" t="s">
        <v>180</v>
      </c>
      <c r="CF4" s="7" t="s">
        <v>181</v>
      </c>
      <c r="CG4" s="7" t="s">
        <v>182</v>
      </c>
      <c r="CH4" s="7" t="s">
        <v>183</v>
      </c>
      <c r="CI4" s="7" t="s">
        <v>177</v>
      </c>
      <c r="CJ4" s="11" t="s">
        <v>178</v>
      </c>
      <c r="CK4" s="7" t="s">
        <v>179</v>
      </c>
      <c r="CL4" s="13" t="s">
        <v>180</v>
      </c>
      <c r="CM4" s="7" t="s">
        <v>181</v>
      </c>
      <c r="CN4" s="7" t="s">
        <v>182</v>
      </c>
      <c r="CO4" s="7" t="s">
        <v>183</v>
      </c>
      <c r="CP4" s="7" t="s">
        <v>177</v>
      </c>
      <c r="CQ4" s="7" t="s">
        <v>178</v>
      </c>
      <c r="CR4" s="7" t="s">
        <v>179</v>
      </c>
      <c r="CS4" s="13" t="s">
        <v>180</v>
      </c>
      <c r="CT4" s="7" t="s">
        <v>181</v>
      </c>
      <c r="CU4" s="8" t="s">
        <v>182</v>
      </c>
      <c r="CV4" s="9" t="s">
        <v>183</v>
      </c>
      <c r="CW4" s="7" t="s">
        <v>177</v>
      </c>
      <c r="CX4" s="11" t="s">
        <v>178</v>
      </c>
      <c r="CY4" s="7" t="s">
        <v>179</v>
      </c>
      <c r="CZ4" s="11" t="s">
        <v>180</v>
      </c>
      <c r="DA4" s="11" t="s">
        <v>181</v>
      </c>
      <c r="DB4" s="7" t="s">
        <v>182</v>
      </c>
      <c r="DC4" s="7" t="s">
        <v>183</v>
      </c>
      <c r="DD4" s="7" t="s">
        <v>177</v>
      </c>
      <c r="DE4" s="7" t="s">
        <v>178</v>
      </c>
      <c r="DF4" s="7" t="s">
        <v>179</v>
      </c>
      <c r="DG4" s="12" t="s">
        <v>180</v>
      </c>
      <c r="DH4" s="7" t="s">
        <v>181</v>
      </c>
      <c r="DI4" s="7" t="s">
        <v>182</v>
      </c>
      <c r="DJ4" s="7" t="s">
        <v>183</v>
      </c>
      <c r="DK4" s="7" t="s">
        <v>177</v>
      </c>
      <c r="DL4" s="7" t="s">
        <v>178</v>
      </c>
      <c r="DM4" s="7" t="s">
        <v>179</v>
      </c>
      <c r="DN4" s="12" t="s">
        <v>180</v>
      </c>
      <c r="DO4" s="7" t="s">
        <v>181</v>
      </c>
      <c r="DP4" s="7" t="s">
        <v>182</v>
      </c>
      <c r="DQ4" s="7" t="s">
        <v>183</v>
      </c>
      <c r="DR4" s="7" t="s">
        <v>177</v>
      </c>
      <c r="DS4" s="7" t="s">
        <v>178</v>
      </c>
      <c r="DT4" s="7" t="s">
        <v>179</v>
      </c>
      <c r="DU4" s="12" t="s">
        <v>180</v>
      </c>
      <c r="DV4" s="7" t="s">
        <v>181</v>
      </c>
      <c r="DW4" s="7" t="s">
        <v>182</v>
      </c>
      <c r="DX4" s="7" t="s">
        <v>183</v>
      </c>
      <c r="DY4" s="8" t="s">
        <v>177</v>
      </c>
      <c r="DZ4" s="14" t="s">
        <v>178</v>
      </c>
      <c r="EA4" s="7" t="s">
        <v>179</v>
      </c>
      <c r="EB4" s="12" t="s">
        <v>180</v>
      </c>
      <c r="EC4" s="7" t="s">
        <v>181</v>
      </c>
      <c r="ED4" s="7" t="s">
        <v>182</v>
      </c>
      <c r="EE4" s="7" t="s">
        <v>183</v>
      </c>
      <c r="EF4" s="7" t="s">
        <v>177</v>
      </c>
      <c r="EG4" s="7" t="s">
        <v>178</v>
      </c>
      <c r="EH4" s="7" t="s">
        <v>179</v>
      </c>
      <c r="EI4" s="12" t="s">
        <v>180</v>
      </c>
      <c r="EJ4" s="7" t="s">
        <v>181</v>
      </c>
      <c r="EK4" s="7" t="s">
        <v>182</v>
      </c>
      <c r="EL4" s="7" t="s">
        <v>183</v>
      </c>
      <c r="EM4" s="7" t="s">
        <v>177</v>
      </c>
      <c r="EN4" s="7" t="s">
        <v>178</v>
      </c>
      <c r="EO4" s="7" t="s">
        <v>179</v>
      </c>
      <c r="EP4" s="12" t="s">
        <v>180</v>
      </c>
      <c r="EQ4" s="7" t="s">
        <v>181</v>
      </c>
      <c r="ER4" s="7" t="s">
        <v>182</v>
      </c>
      <c r="ES4" s="7" t="s">
        <v>183</v>
      </c>
      <c r="ET4" s="7" t="s">
        <v>177</v>
      </c>
      <c r="EU4" s="7" t="s">
        <v>178</v>
      </c>
      <c r="EV4" s="7" t="s">
        <v>179</v>
      </c>
      <c r="EW4" s="12" t="s">
        <v>180</v>
      </c>
      <c r="EX4" s="7" t="s">
        <v>181</v>
      </c>
      <c r="EY4" s="7" t="s">
        <v>182</v>
      </c>
      <c r="EZ4" s="11" t="s">
        <v>183</v>
      </c>
      <c r="FA4" s="7" t="s">
        <v>177</v>
      </c>
      <c r="FB4" s="7" t="s">
        <v>178</v>
      </c>
      <c r="FC4" s="7" t="s">
        <v>179</v>
      </c>
      <c r="FD4" s="15" t="s">
        <v>180</v>
      </c>
      <c r="FE4" s="14" t="s">
        <v>181</v>
      </c>
      <c r="FF4" s="7" t="s">
        <v>182</v>
      </c>
      <c r="FG4" s="7" t="s">
        <v>183</v>
      </c>
      <c r="FH4" s="7" t="s">
        <v>177</v>
      </c>
      <c r="FI4" s="7" t="s">
        <v>178</v>
      </c>
      <c r="FJ4" s="7" t="s">
        <v>179</v>
      </c>
      <c r="FK4" s="12" t="s">
        <v>180</v>
      </c>
      <c r="FL4" s="7" t="s">
        <v>181</v>
      </c>
      <c r="FM4" s="7" t="s">
        <v>182</v>
      </c>
      <c r="FN4" s="7" t="s">
        <v>183</v>
      </c>
      <c r="FO4" s="7" t="s">
        <v>177</v>
      </c>
      <c r="FP4" s="7" t="s">
        <v>178</v>
      </c>
      <c r="FQ4" s="7" t="s">
        <v>179</v>
      </c>
      <c r="FR4" s="12" t="s">
        <v>180</v>
      </c>
      <c r="FS4" s="7" t="s">
        <v>181</v>
      </c>
      <c r="FT4" s="7" t="s">
        <v>182</v>
      </c>
      <c r="FU4" s="7" t="s">
        <v>183</v>
      </c>
      <c r="FV4" s="7" t="s">
        <v>177</v>
      </c>
      <c r="FW4" s="7" t="s">
        <v>178</v>
      </c>
      <c r="FX4" s="7" t="s">
        <v>179</v>
      </c>
      <c r="FY4" s="12" t="s">
        <v>180</v>
      </c>
      <c r="FZ4" s="7" t="s">
        <v>181</v>
      </c>
      <c r="GA4" s="7" t="s">
        <v>182</v>
      </c>
      <c r="GB4" s="7" t="s">
        <v>183</v>
      </c>
      <c r="GC4" s="7" t="s">
        <v>177</v>
      </c>
      <c r="GD4" s="7" t="s">
        <v>178</v>
      </c>
      <c r="GE4" s="7" t="s">
        <v>179</v>
      </c>
      <c r="GF4" s="12" t="s">
        <v>180</v>
      </c>
      <c r="GG4" s="7" t="s">
        <v>181</v>
      </c>
      <c r="GH4" s="8" t="s">
        <v>182</v>
      </c>
      <c r="GI4" s="9" t="s">
        <v>183</v>
      </c>
      <c r="GJ4" s="7" t="s">
        <v>177</v>
      </c>
      <c r="GK4" s="7" t="s">
        <v>178</v>
      </c>
      <c r="GL4" s="7" t="s">
        <v>179</v>
      </c>
      <c r="GM4" s="12" t="s">
        <v>180</v>
      </c>
      <c r="GN4" s="7" t="s">
        <v>181</v>
      </c>
      <c r="GO4" s="7" t="s">
        <v>182</v>
      </c>
      <c r="GP4" s="7" t="s">
        <v>183</v>
      </c>
      <c r="GQ4" s="7" t="s">
        <v>177</v>
      </c>
      <c r="GR4" s="7" t="s">
        <v>178</v>
      </c>
      <c r="GS4" s="7" t="s">
        <v>179</v>
      </c>
      <c r="GT4" s="12" t="s">
        <v>180</v>
      </c>
      <c r="GU4" s="7" t="s">
        <v>181</v>
      </c>
      <c r="GV4" s="7" t="s">
        <v>182</v>
      </c>
      <c r="GW4" s="7" t="s">
        <v>183</v>
      </c>
      <c r="GX4" s="7" t="s">
        <v>177</v>
      </c>
      <c r="GY4" s="7" t="s">
        <v>178</v>
      </c>
      <c r="GZ4" s="7" t="s">
        <v>179</v>
      </c>
      <c r="HA4" s="12" t="s">
        <v>180</v>
      </c>
      <c r="HB4" s="7" t="s">
        <v>181</v>
      </c>
      <c r="HC4" s="7" t="s">
        <v>182</v>
      </c>
      <c r="HD4" s="7" t="s">
        <v>183</v>
      </c>
      <c r="HE4" s="7" t="s">
        <v>177</v>
      </c>
      <c r="HF4" s="7" t="s">
        <v>178</v>
      </c>
      <c r="HG4" s="7" t="s">
        <v>179</v>
      </c>
      <c r="HH4" s="12" t="s">
        <v>180</v>
      </c>
      <c r="HI4" s="7" t="s">
        <v>181</v>
      </c>
      <c r="HJ4" s="7" t="s">
        <v>182</v>
      </c>
      <c r="HK4" s="7" t="s">
        <v>183</v>
      </c>
      <c r="HL4" s="7" t="s">
        <v>177</v>
      </c>
      <c r="HM4" s="8" t="s">
        <v>178</v>
      </c>
      <c r="HN4" s="9" t="s">
        <v>179</v>
      </c>
      <c r="HO4" s="12" t="s">
        <v>180</v>
      </c>
      <c r="HP4" s="7" t="s">
        <v>181</v>
      </c>
      <c r="HQ4" s="7" t="s">
        <v>182</v>
      </c>
      <c r="HR4" s="7" t="s">
        <v>183</v>
      </c>
      <c r="HS4" s="7" t="s">
        <v>177</v>
      </c>
      <c r="HT4" s="7" t="s">
        <v>178</v>
      </c>
      <c r="HU4" s="7" t="s">
        <v>179</v>
      </c>
      <c r="HV4" s="12" t="s">
        <v>180</v>
      </c>
      <c r="HW4" s="7" t="s">
        <v>181</v>
      </c>
      <c r="HX4" s="7" t="s">
        <v>182</v>
      </c>
      <c r="HY4" s="7" t="s">
        <v>183</v>
      </c>
      <c r="HZ4" s="7" t="s">
        <v>177</v>
      </c>
      <c r="IA4" s="7" t="s">
        <v>178</v>
      </c>
      <c r="IB4" s="7" t="s">
        <v>179</v>
      </c>
      <c r="IC4" s="12" t="s">
        <v>180</v>
      </c>
      <c r="ID4" s="7" t="s">
        <v>181</v>
      </c>
      <c r="IE4" s="7" t="s">
        <v>182</v>
      </c>
      <c r="IF4" s="7" t="s">
        <v>183</v>
      </c>
      <c r="IG4" s="7" t="s">
        <v>177</v>
      </c>
      <c r="IH4" s="7" t="s">
        <v>178</v>
      </c>
      <c r="II4" s="7" t="s">
        <v>179</v>
      </c>
      <c r="IJ4" s="12" t="s">
        <v>180</v>
      </c>
      <c r="IK4" s="7" t="s">
        <v>181</v>
      </c>
      <c r="IL4" s="7" t="s">
        <v>182</v>
      </c>
      <c r="IM4" s="7" t="s">
        <v>183</v>
      </c>
      <c r="IN4" s="7" t="s">
        <v>177</v>
      </c>
      <c r="IO4" s="7" t="s">
        <v>178</v>
      </c>
      <c r="IP4" s="7" t="s">
        <v>179</v>
      </c>
      <c r="IQ4" s="12" t="s">
        <v>180</v>
      </c>
      <c r="IR4" s="8" t="s">
        <v>181</v>
      </c>
      <c r="IS4" s="9" t="s">
        <v>182</v>
      </c>
      <c r="IT4" s="7" t="s">
        <v>183</v>
      </c>
      <c r="IU4" s="7" t="s">
        <v>177</v>
      </c>
      <c r="IV4" s="7" t="s">
        <v>178</v>
      </c>
      <c r="IW4" s="7" t="s">
        <v>179</v>
      </c>
      <c r="IX4" s="12" t="s">
        <v>180</v>
      </c>
      <c r="IY4" s="7" t="s">
        <v>181</v>
      </c>
      <c r="IZ4" s="7" t="s">
        <v>182</v>
      </c>
      <c r="JA4" s="7" t="s">
        <v>183</v>
      </c>
      <c r="JB4" s="7" t="s">
        <v>177</v>
      </c>
      <c r="JC4" s="7" t="s">
        <v>178</v>
      </c>
      <c r="JD4" s="7" t="s">
        <v>179</v>
      </c>
      <c r="JE4" s="12" t="s">
        <v>180</v>
      </c>
      <c r="JF4" s="7" t="s">
        <v>181</v>
      </c>
      <c r="JG4" s="7" t="s">
        <v>182</v>
      </c>
      <c r="JH4" s="7" t="s">
        <v>183</v>
      </c>
      <c r="JI4" s="7" t="s">
        <v>177</v>
      </c>
      <c r="JJ4" s="7" t="s">
        <v>178</v>
      </c>
      <c r="JK4" s="7" t="s">
        <v>179</v>
      </c>
      <c r="JL4" s="12" t="s">
        <v>180</v>
      </c>
      <c r="JM4" s="7" t="s">
        <v>181</v>
      </c>
      <c r="JN4" s="7" t="s">
        <v>182</v>
      </c>
      <c r="JO4" s="7" t="s">
        <v>183</v>
      </c>
      <c r="JP4" s="7" t="s">
        <v>177</v>
      </c>
      <c r="JQ4" s="7" t="s">
        <v>178</v>
      </c>
      <c r="JR4" s="7" t="s">
        <v>179</v>
      </c>
      <c r="JS4" s="12" t="s">
        <v>180</v>
      </c>
      <c r="JT4" s="7" t="s">
        <v>181</v>
      </c>
      <c r="JU4" s="7" t="s">
        <v>182</v>
      </c>
      <c r="JV4" s="8" t="s">
        <v>183</v>
      </c>
      <c r="JW4" s="9" t="s">
        <v>177</v>
      </c>
      <c r="JX4" s="7" t="s">
        <v>178</v>
      </c>
      <c r="JY4" s="7" t="s">
        <v>179</v>
      </c>
      <c r="JZ4" s="12" t="s">
        <v>180</v>
      </c>
      <c r="KA4" s="7" t="s">
        <v>181</v>
      </c>
      <c r="KB4" s="7" t="s">
        <v>182</v>
      </c>
      <c r="KC4" s="7" t="s">
        <v>183</v>
      </c>
      <c r="KD4" s="7" t="s">
        <v>179</v>
      </c>
      <c r="KE4" s="7" t="s">
        <v>178</v>
      </c>
      <c r="KF4" s="11" t="s">
        <v>179</v>
      </c>
      <c r="KG4" s="12" t="s">
        <v>180</v>
      </c>
      <c r="KH4" s="7" t="s">
        <v>181</v>
      </c>
      <c r="KI4" s="7" t="s">
        <v>182</v>
      </c>
      <c r="KJ4" s="7" t="s">
        <v>183</v>
      </c>
      <c r="KK4" s="7" t="s">
        <v>177</v>
      </c>
      <c r="KL4" s="7" t="s">
        <v>178</v>
      </c>
      <c r="KM4" s="7" t="s">
        <v>179</v>
      </c>
      <c r="KN4" s="12" t="s">
        <v>180</v>
      </c>
      <c r="KO4" s="7" t="s">
        <v>181</v>
      </c>
      <c r="KP4" s="11" t="s">
        <v>182</v>
      </c>
      <c r="KQ4" s="7" t="s">
        <v>183</v>
      </c>
      <c r="KR4" s="7" t="s">
        <v>177</v>
      </c>
      <c r="KS4" s="7" t="s">
        <v>178</v>
      </c>
      <c r="KT4" s="7" t="s">
        <v>179</v>
      </c>
      <c r="KU4" s="12" t="s">
        <v>180</v>
      </c>
      <c r="KV4" s="7" t="s">
        <v>181</v>
      </c>
      <c r="KW4" s="7" t="s">
        <v>182</v>
      </c>
      <c r="KX4" s="7" t="s">
        <v>183</v>
      </c>
      <c r="KY4" s="7" t="s">
        <v>177</v>
      </c>
      <c r="KZ4" s="7" t="s">
        <v>178</v>
      </c>
      <c r="LA4" s="8" t="s">
        <v>179</v>
      </c>
      <c r="LB4" s="13" t="s">
        <v>180</v>
      </c>
      <c r="LC4" s="7" t="s">
        <v>181</v>
      </c>
      <c r="LD4" s="7" t="s">
        <v>182</v>
      </c>
      <c r="LE4" s="7" t="s">
        <v>183</v>
      </c>
      <c r="LF4" s="7" t="s">
        <v>177</v>
      </c>
      <c r="LG4" s="7" t="s">
        <v>178</v>
      </c>
      <c r="LH4" s="7" t="s">
        <v>179</v>
      </c>
      <c r="LI4" s="12" t="s">
        <v>180</v>
      </c>
      <c r="LJ4" s="7" t="s">
        <v>181</v>
      </c>
      <c r="LK4" s="7" t="s">
        <v>182</v>
      </c>
      <c r="LL4" s="7" t="s">
        <v>183</v>
      </c>
      <c r="LM4" s="7" t="s">
        <v>177</v>
      </c>
      <c r="LN4" s="7" t="s">
        <v>178</v>
      </c>
      <c r="LO4" s="7" t="s">
        <v>179</v>
      </c>
      <c r="LP4" s="12" t="s">
        <v>180</v>
      </c>
      <c r="LQ4" s="7" t="s">
        <v>181</v>
      </c>
      <c r="LR4" s="7" t="s">
        <v>182</v>
      </c>
      <c r="LS4" s="7" t="s">
        <v>183</v>
      </c>
      <c r="LT4" s="7" t="s">
        <v>177</v>
      </c>
      <c r="LU4" s="7" t="s">
        <v>178</v>
      </c>
      <c r="LV4" s="7" t="s">
        <v>179</v>
      </c>
      <c r="LW4" s="12" t="s">
        <v>180</v>
      </c>
      <c r="LX4" s="7" t="s">
        <v>181</v>
      </c>
      <c r="LY4" s="7" t="s">
        <v>182</v>
      </c>
      <c r="LZ4" s="7" t="s">
        <v>183</v>
      </c>
      <c r="MA4" s="7" t="s">
        <v>179</v>
      </c>
      <c r="MB4" s="7" t="s">
        <v>178</v>
      </c>
      <c r="MC4" s="7" t="s">
        <v>179</v>
      </c>
      <c r="MD4" s="12" t="s">
        <v>180</v>
      </c>
      <c r="ME4" s="8" t="s">
        <v>181</v>
      </c>
      <c r="MF4" s="9" t="s">
        <v>182</v>
      </c>
      <c r="MG4" s="7" t="s">
        <v>183</v>
      </c>
      <c r="MH4" s="7" t="s">
        <v>177</v>
      </c>
      <c r="MI4" s="7" t="s">
        <v>178</v>
      </c>
      <c r="MJ4" s="7" t="s">
        <v>179</v>
      </c>
      <c r="MK4" s="12" t="s">
        <v>180</v>
      </c>
      <c r="ML4" s="7" t="s">
        <v>181</v>
      </c>
      <c r="MM4" s="7" t="s">
        <v>182</v>
      </c>
      <c r="MN4" s="7" t="s">
        <v>183</v>
      </c>
      <c r="MO4" s="7" t="s">
        <v>177</v>
      </c>
      <c r="MP4" s="7" t="s">
        <v>178</v>
      </c>
      <c r="MQ4" s="11" t="s">
        <v>179</v>
      </c>
      <c r="MR4" s="12" t="s">
        <v>180</v>
      </c>
      <c r="MS4" s="7" t="s">
        <v>181</v>
      </c>
      <c r="MT4" s="7" t="s">
        <v>182</v>
      </c>
      <c r="MU4" s="7" t="s">
        <v>183</v>
      </c>
      <c r="MV4" s="7" t="s">
        <v>177</v>
      </c>
      <c r="MW4" s="7" t="s">
        <v>178</v>
      </c>
      <c r="MX4" s="7" t="s">
        <v>179</v>
      </c>
      <c r="MY4" s="12" t="s">
        <v>180</v>
      </c>
      <c r="MZ4" s="7" t="s">
        <v>181</v>
      </c>
      <c r="NA4" s="7" t="s">
        <v>182</v>
      </c>
      <c r="NB4" s="7" t="s">
        <v>183</v>
      </c>
      <c r="NC4" s="7" t="s">
        <v>177</v>
      </c>
      <c r="ND4" s="11" t="s">
        <v>178</v>
      </c>
      <c r="NE4" s="11" t="s">
        <v>179</v>
      </c>
      <c r="NF4" s="12" t="s">
        <v>180</v>
      </c>
      <c r="NG4" s="7" t="s">
        <v>181</v>
      </c>
      <c r="NH4" s="7" t="s">
        <v>182</v>
      </c>
      <c r="NI4" s="7" t="s">
        <v>183</v>
      </c>
      <c r="NJ4" s="8" t="s">
        <v>177</v>
      </c>
    </row>
    <row r="5" ht="63.55" spans="1:374">
      <c r="A5" s="16" t="s">
        <v>184</v>
      </c>
      <c r="B5" s="17" t="s">
        <v>2</v>
      </c>
      <c r="C5" s="17" t="s">
        <v>185</v>
      </c>
      <c r="D5" s="17" t="s">
        <v>186</v>
      </c>
      <c r="E5" s="17" t="s">
        <v>187</v>
      </c>
      <c r="F5" s="17" t="s">
        <v>188</v>
      </c>
      <c r="G5" s="17" t="s">
        <v>189</v>
      </c>
      <c r="H5" s="17" t="s">
        <v>190</v>
      </c>
      <c r="I5" s="7" t="s">
        <v>191</v>
      </c>
      <c r="J5" s="18">
        <v>46023</v>
      </c>
      <c r="K5" s="19">
        <v>46054</v>
      </c>
      <c r="L5" s="19">
        <v>46082</v>
      </c>
      <c r="M5" s="20">
        <v>46113</v>
      </c>
      <c r="N5" s="19">
        <v>46143</v>
      </c>
      <c r="O5" s="19">
        <v>46174</v>
      </c>
      <c r="P5" s="19">
        <v>46204</v>
      </c>
      <c r="Q5" s="19">
        <v>46235</v>
      </c>
      <c r="R5" s="19">
        <v>46266</v>
      </c>
      <c r="S5" s="19">
        <v>46296</v>
      </c>
      <c r="T5" s="20">
        <v>46327</v>
      </c>
      <c r="U5" s="19">
        <v>46357</v>
      </c>
      <c r="V5" s="19" t="s">
        <v>192</v>
      </c>
      <c r="W5" s="21" t="s">
        <v>193</v>
      </c>
      <c r="X5" s="21" t="s">
        <v>194</v>
      </c>
      <c r="Y5" s="19" t="s">
        <v>195</v>
      </c>
      <c r="Z5" s="19" t="s">
        <v>196</v>
      </c>
      <c r="AA5" s="20" t="s">
        <v>197</v>
      </c>
      <c r="AB5" s="19" t="s">
        <v>198</v>
      </c>
      <c r="AC5" s="19" t="s">
        <v>199</v>
      </c>
      <c r="AD5" s="19" t="s">
        <v>200</v>
      </c>
      <c r="AE5" s="19" t="s">
        <v>201</v>
      </c>
      <c r="AF5" s="19" t="s">
        <v>202</v>
      </c>
      <c r="AG5" s="19" t="s">
        <v>203</v>
      </c>
      <c r="AH5" s="20" t="s">
        <v>204</v>
      </c>
      <c r="AI5" s="19" t="s">
        <v>205</v>
      </c>
      <c r="AJ5" s="19" t="s">
        <v>206</v>
      </c>
      <c r="AK5" s="19" t="s">
        <v>207</v>
      </c>
      <c r="AL5" s="19" t="s">
        <v>208</v>
      </c>
      <c r="AM5" s="19" t="s">
        <v>209</v>
      </c>
      <c r="AN5" s="22" t="s">
        <v>210</v>
      </c>
      <c r="AO5" s="23">
        <v>46024</v>
      </c>
      <c r="AP5" s="19">
        <v>46055</v>
      </c>
      <c r="AQ5" s="19">
        <v>46083</v>
      </c>
      <c r="AR5" s="19">
        <v>46114</v>
      </c>
      <c r="AS5" s="19">
        <v>46144</v>
      </c>
      <c r="AT5" s="19">
        <v>46175</v>
      </c>
      <c r="AU5" s="19">
        <v>46205</v>
      </c>
      <c r="AV5" s="20">
        <v>46236</v>
      </c>
      <c r="AW5" s="19">
        <v>46267</v>
      </c>
      <c r="AX5" s="19">
        <v>46297</v>
      </c>
      <c r="AY5" s="19">
        <v>46328</v>
      </c>
      <c r="AZ5" s="19">
        <v>46358</v>
      </c>
      <c r="BA5" s="21" t="s">
        <v>211</v>
      </c>
      <c r="BB5" s="21" t="s">
        <v>212</v>
      </c>
      <c r="BC5" s="24" t="s">
        <v>213</v>
      </c>
      <c r="BD5" s="21" t="s">
        <v>214</v>
      </c>
      <c r="BE5" s="21" t="s">
        <v>215</v>
      </c>
      <c r="BF5" s="21" t="s">
        <v>216</v>
      </c>
      <c r="BG5" s="21" t="s">
        <v>217</v>
      </c>
      <c r="BH5" s="21" t="s">
        <v>218</v>
      </c>
      <c r="BI5" s="21" t="s">
        <v>219</v>
      </c>
      <c r="BJ5" s="24" t="s">
        <v>220</v>
      </c>
      <c r="BK5" s="21" t="s">
        <v>221</v>
      </c>
      <c r="BL5" s="21" t="s">
        <v>222</v>
      </c>
      <c r="BM5" s="21" t="s">
        <v>223</v>
      </c>
      <c r="BN5" s="21" t="s">
        <v>224</v>
      </c>
      <c r="BO5" s="21" t="s">
        <v>225</v>
      </c>
      <c r="BP5" s="25" t="s">
        <v>226</v>
      </c>
      <c r="BQ5" s="23">
        <v>46025</v>
      </c>
      <c r="BR5" s="19">
        <v>46056</v>
      </c>
      <c r="BS5" s="19">
        <v>46084</v>
      </c>
      <c r="BT5" s="19">
        <v>46115</v>
      </c>
      <c r="BU5" s="19">
        <v>46145</v>
      </c>
      <c r="BV5" s="19">
        <v>46176</v>
      </c>
      <c r="BW5" s="19">
        <v>46206</v>
      </c>
      <c r="BX5" s="20">
        <v>46237</v>
      </c>
      <c r="BY5" s="19">
        <v>46268</v>
      </c>
      <c r="BZ5" s="19">
        <v>46298</v>
      </c>
      <c r="CA5" s="19">
        <v>46329</v>
      </c>
      <c r="CB5" s="19">
        <v>46359</v>
      </c>
      <c r="CC5" s="21" t="s">
        <v>227</v>
      </c>
      <c r="CD5" s="21" t="s">
        <v>228</v>
      </c>
      <c r="CE5" s="24" t="s">
        <v>229</v>
      </c>
      <c r="CF5" s="21" t="s">
        <v>230</v>
      </c>
      <c r="CG5" s="21" t="s">
        <v>231</v>
      </c>
      <c r="CH5" s="21" t="s">
        <v>232</v>
      </c>
      <c r="CI5" s="21" t="s">
        <v>233</v>
      </c>
      <c r="CJ5" s="26" t="s">
        <v>234</v>
      </c>
      <c r="CK5" s="21" t="s">
        <v>235</v>
      </c>
      <c r="CL5" s="24" t="s">
        <v>236</v>
      </c>
      <c r="CM5" s="21" t="s">
        <v>237</v>
      </c>
      <c r="CN5" s="21" t="s">
        <v>238</v>
      </c>
      <c r="CO5" s="21" t="s">
        <v>239</v>
      </c>
      <c r="CP5" s="21" t="s">
        <v>240</v>
      </c>
      <c r="CQ5" s="21" t="s">
        <v>241</v>
      </c>
      <c r="CR5" s="21" t="s">
        <v>242</v>
      </c>
      <c r="CS5" s="24" t="s">
        <v>243</v>
      </c>
      <c r="CT5" s="21" t="s">
        <v>244</v>
      </c>
      <c r="CU5" s="25" t="s">
        <v>245</v>
      </c>
      <c r="CV5" s="27">
        <v>46026</v>
      </c>
      <c r="CW5" s="28">
        <v>46057</v>
      </c>
      <c r="CX5" s="29">
        <v>46085</v>
      </c>
      <c r="CY5" s="28">
        <v>46116</v>
      </c>
      <c r="CZ5" s="29">
        <v>46146</v>
      </c>
      <c r="DA5" s="29">
        <v>46177</v>
      </c>
      <c r="DB5" s="28">
        <v>46207</v>
      </c>
      <c r="DC5" s="28">
        <v>46238</v>
      </c>
      <c r="DD5" s="28">
        <v>46269</v>
      </c>
      <c r="DE5" s="28">
        <v>46299</v>
      </c>
      <c r="DF5" s="28">
        <v>46330</v>
      </c>
      <c r="DG5" s="30">
        <v>46360</v>
      </c>
      <c r="DH5" s="28" t="s">
        <v>246</v>
      </c>
      <c r="DI5" s="28" t="s">
        <v>247</v>
      </c>
      <c r="DJ5" s="28" t="s">
        <v>248</v>
      </c>
      <c r="DK5" s="28" t="s">
        <v>249</v>
      </c>
      <c r="DL5" s="28" t="s">
        <v>250</v>
      </c>
      <c r="DM5" s="28" t="s">
        <v>251</v>
      </c>
      <c r="DN5" s="30" t="s">
        <v>252</v>
      </c>
      <c r="DO5" s="28" t="s">
        <v>253</v>
      </c>
      <c r="DP5" s="28" t="s">
        <v>254</v>
      </c>
      <c r="DQ5" s="28" t="s">
        <v>255</v>
      </c>
      <c r="DR5" s="28" t="s">
        <v>256</v>
      </c>
      <c r="DS5" s="28" t="s">
        <v>257</v>
      </c>
      <c r="DT5" s="31" t="s">
        <v>258</v>
      </c>
      <c r="DU5" s="30" t="s">
        <v>259</v>
      </c>
      <c r="DV5" s="28" t="s">
        <v>260</v>
      </c>
      <c r="DW5" s="28" t="s">
        <v>261</v>
      </c>
      <c r="DX5" s="28" t="s">
        <v>262</v>
      </c>
      <c r="DY5" s="32" t="s">
        <v>263</v>
      </c>
      <c r="DZ5" s="33">
        <v>46027</v>
      </c>
      <c r="EA5" s="19">
        <v>46058</v>
      </c>
      <c r="EB5" s="20">
        <v>46086</v>
      </c>
      <c r="EC5" s="19">
        <v>46117</v>
      </c>
      <c r="ED5" s="19">
        <v>46147</v>
      </c>
      <c r="EE5" s="19">
        <v>46178</v>
      </c>
      <c r="EF5" s="19">
        <v>46208</v>
      </c>
      <c r="EG5" s="19">
        <v>46239</v>
      </c>
      <c r="EH5" s="19">
        <v>46270</v>
      </c>
      <c r="EI5" s="20">
        <v>46300</v>
      </c>
      <c r="EJ5" s="19">
        <v>46331</v>
      </c>
      <c r="EK5" s="19">
        <v>46361</v>
      </c>
      <c r="EL5" s="19" t="s">
        <v>264</v>
      </c>
      <c r="EM5" s="19" t="s">
        <v>265</v>
      </c>
      <c r="EN5" s="19" t="s">
        <v>266</v>
      </c>
      <c r="EO5" s="19" t="s">
        <v>267</v>
      </c>
      <c r="EP5" s="20" t="s">
        <v>268</v>
      </c>
      <c r="EQ5" s="19" t="s">
        <v>269</v>
      </c>
      <c r="ER5" s="19" t="s">
        <v>270</v>
      </c>
      <c r="ES5" s="19" t="s">
        <v>271</v>
      </c>
      <c r="ET5" s="19" t="s">
        <v>272</v>
      </c>
      <c r="EU5" s="19" t="s">
        <v>273</v>
      </c>
      <c r="EV5" s="19" t="s">
        <v>274</v>
      </c>
      <c r="EW5" s="20" t="s">
        <v>275</v>
      </c>
      <c r="EX5" s="19" t="s">
        <v>276</v>
      </c>
      <c r="EY5" s="19" t="s">
        <v>277</v>
      </c>
      <c r="EZ5" s="18" t="s">
        <v>278</v>
      </c>
      <c r="FA5" s="19" t="s">
        <v>279</v>
      </c>
      <c r="FB5" s="19" t="s">
        <v>280</v>
      </c>
      <c r="FC5" s="19" t="s">
        <v>281</v>
      </c>
      <c r="FD5" s="34" t="s">
        <v>282</v>
      </c>
      <c r="FE5" s="33">
        <v>46028</v>
      </c>
      <c r="FF5" s="19">
        <v>46059</v>
      </c>
      <c r="FG5" s="19">
        <v>46087</v>
      </c>
      <c r="FH5" s="21" t="s">
        <v>283</v>
      </c>
      <c r="FI5" s="19">
        <v>46148</v>
      </c>
      <c r="FJ5" s="19">
        <v>46179</v>
      </c>
      <c r="FK5" s="20">
        <v>46209</v>
      </c>
      <c r="FL5" s="19">
        <v>46240</v>
      </c>
      <c r="FM5" s="19">
        <v>46271</v>
      </c>
      <c r="FN5" s="19">
        <v>46301</v>
      </c>
      <c r="FO5" s="19">
        <v>46332</v>
      </c>
      <c r="FP5" s="19">
        <v>46362</v>
      </c>
      <c r="FQ5" s="21" t="s">
        <v>284</v>
      </c>
      <c r="FR5" s="24" t="s">
        <v>285</v>
      </c>
      <c r="FS5" s="21" t="s">
        <v>286</v>
      </c>
      <c r="FT5" s="21" t="s">
        <v>287</v>
      </c>
      <c r="FU5" s="21" t="s">
        <v>288</v>
      </c>
      <c r="FV5" s="21" t="s">
        <v>289</v>
      </c>
      <c r="FW5" s="21" t="s">
        <v>290</v>
      </c>
      <c r="FX5" s="21" t="s">
        <v>291</v>
      </c>
      <c r="FY5" s="24" t="s">
        <v>292</v>
      </c>
      <c r="FZ5" s="21" t="s">
        <v>293</v>
      </c>
      <c r="GA5" s="21" t="s">
        <v>294</v>
      </c>
      <c r="GB5" s="21" t="s">
        <v>295</v>
      </c>
      <c r="GC5" s="21" t="s">
        <v>296</v>
      </c>
      <c r="GD5" s="21" t="s">
        <v>297</v>
      </c>
      <c r="GE5" s="21" t="s">
        <v>298</v>
      </c>
      <c r="GF5" s="24" t="s">
        <v>299</v>
      </c>
      <c r="GG5" s="21" t="s">
        <v>300</v>
      </c>
      <c r="GH5" s="25" t="s">
        <v>301</v>
      </c>
      <c r="GI5" s="35">
        <v>46029</v>
      </c>
      <c r="GJ5" s="19">
        <v>46060</v>
      </c>
      <c r="GK5" s="19">
        <v>46088</v>
      </c>
      <c r="GL5" s="21" t="s">
        <v>302</v>
      </c>
      <c r="GM5" s="20">
        <v>46149</v>
      </c>
      <c r="GN5" s="19">
        <v>46180</v>
      </c>
      <c r="GO5" s="19">
        <v>46210</v>
      </c>
      <c r="GP5" s="19">
        <v>46241</v>
      </c>
      <c r="GQ5" s="19">
        <v>46272</v>
      </c>
      <c r="GR5" s="19">
        <v>46302</v>
      </c>
      <c r="GS5" s="19">
        <v>46333</v>
      </c>
      <c r="GT5" s="20">
        <v>46363</v>
      </c>
      <c r="GU5" s="21" t="s">
        <v>303</v>
      </c>
      <c r="GV5" s="21" t="s">
        <v>304</v>
      </c>
      <c r="GW5" s="21" t="s">
        <v>305</v>
      </c>
      <c r="GX5" s="21" t="s">
        <v>306</v>
      </c>
      <c r="GY5" s="21" t="s">
        <v>307</v>
      </c>
      <c r="GZ5" s="21" t="s">
        <v>308</v>
      </c>
      <c r="HA5" s="24" t="s">
        <v>309</v>
      </c>
      <c r="HB5" s="21" t="s">
        <v>310</v>
      </c>
      <c r="HC5" s="21" t="s">
        <v>311</v>
      </c>
      <c r="HD5" s="21" t="s">
        <v>312</v>
      </c>
      <c r="HE5" s="21" t="s">
        <v>313</v>
      </c>
      <c r="HF5" s="21" t="s">
        <v>314</v>
      </c>
      <c r="HG5" s="21" t="s">
        <v>315</v>
      </c>
      <c r="HH5" s="24" t="s">
        <v>316</v>
      </c>
      <c r="HI5" s="21" t="s">
        <v>317</v>
      </c>
      <c r="HJ5" s="21" t="s">
        <v>318</v>
      </c>
      <c r="HK5" s="21" t="s">
        <v>319</v>
      </c>
      <c r="HL5" s="21" t="s">
        <v>320</v>
      </c>
      <c r="HM5" s="36" t="s">
        <v>321</v>
      </c>
      <c r="HN5" s="35">
        <v>46030</v>
      </c>
      <c r="HO5" s="20">
        <v>46061</v>
      </c>
      <c r="HP5" s="19">
        <v>46089</v>
      </c>
      <c r="HQ5" s="21" t="s">
        <v>322</v>
      </c>
      <c r="HR5" s="19">
        <v>46150</v>
      </c>
      <c r="HS5" s="19">
        <v>46181</v>
      </c>
      <c r="HT5" s="19">
        <v>46211</v>
      </c>
      <c r="HU5" s="19">
        <v>46242</v>
      </c>
      <c r="HV5" s="20">
        <v>46273</v>
      </c>
      <c r="HW5" s="19">
        <v>46303</v>
      </c>
      <c r="HX5" s="19">
        <v>46334</v>
      </c>
      <c r="HY5" s="19">
        <v>46364</v>
      </c>
      <c r="HZ5" s="21" t="s">
        <v>323</v>
      </c>
      <c r="IA5" s="21" t="s">
        <v>324</v>
      </c>
      <c r="IB5" s="21" t="s">
        <v>325</v>
      </c>
      <c r="IC5" s="24" t="s">
        <v>326</v>
      </c>
      <c r="ID5" s="21" t="s">
        <v>327</v>
      </c>
      <c r="IE5" s="21" t="s">
        <v>328</v>
      </c>
      <c r="IF5" s="21" t="s">
        <v>329</v>
      </c>
      <c r="IG5" s="21" t="s">
        <v>330</v>
      </c>
      <c r="IH5" s="21" t="s">
        <v>331</v>
      </c>
      <c r="II5" s="21" t="s">
        <v>332</v>
      </c>
      <c r="IJ5" s="24" t="s">
        <v>333</v>
      </c>
      <c r="IK5" s="21" t="s">
        <v>334</v>
      </c>
      <c r="IL5" s="21" t="s">
        <v>335</v>
      </c>
      <c r="IM5" s="21" t="s">
        <v>336</v>
      </c>
      <c r="IN5" s="21" t="s">
        <v>337</v>
      </c>
      <c r="IO5" s="21" t="s">
        <v>338</v>
      </c>
      <c r="IP5" s="21" t="s">
        <v>339</v>
      </c>
      <c r="IQ5" s="24" t="s">
        <v>340</v>
      </c>
      <c r="IR5" s="36" t="s">
        <v>341</v>
      </c>
      <c r="IS5" s="35">
        <v>46031</v>
      </c>
      <c r="IT5" s="19">
        <v>46062</v>
      </c>
      <c r="IU5" s="19">
        <v>46090</v>
      </c>
      <c r="IV5" s="21" t="s">
        <v>342</v>
      </c>
      <c r="IW5" s="19">
        <v>46151</v>
      </c>
      <c r="IX5" s="20">
        <v>46182</v>
      </c>
      <c r="IY5" s="19">
        <v>46212</v>
      </c>
      <c r="IZ5" s="19">
        <v>46243</v>
      </c>
      <c r="JA5" s="19">
        <v>46274</v>
      </c>
      <c r="JB5" s="19">
        <v>46304</v>
      </c>
      <c r="JC5" s="19">
        <v>46335</v>
      </c>
      <c r="JD5" s="19">
        <v>46365</v>
      </c>
      <c r="JE5" s="24" t="s">
        <v>343</v>
      </c>
      <c r="JF5" s="21" t="s">
        <v>344</v>
      </c>
      <c r="JG5" s="21" t="s">
        <v>345</v>
      </c>
      <c r="JH5" s="21" t="s">
        <v>346</v>
      </c>
      <c r="JI5" s="21" t="s">
        <v>347</v>
      </c>
      <c r="JJ5" s="21" t="s">
        <v>348</v>
      </c>
      <c r="JK5" s="21" t="s">
        <v>349</v>
      </c>
      <c r="JL5" s="24" t="s">
        <v>350</v>
      </c>
      <c r="JM5" s="21" t="s">
        <v>351</v>
      </c>
      <c r="JN5" s="21" t="s">
        <v>352</v>
      </c>
      <c r="JO5" s="21" t="s">
        <v>353</v>
      </c>
      <c r="JP5" s="21" t="s">
        <v>354</v>
      </c>
      <c r="JQ5" s="21" t="s">
        <v>355</v>
      </c>
      <c r="JR5" s="21" t="s">
        <v>356</v>
      </c>
      <c r="JS5" s="24" t="s">
        <v>357</v>
      </c>
      <c r="JT5" s="21" t="s">
        <v>358</v>
      </c>
      <c r="JU5" s="21" t="s">
        <v>359</v>
      </c>
      <c r="JV5" s="25" t="s">
        <v>360</v>
      </c>
      <c r="JW5" s="35">
        <v>46032</v>
      </c>
      <c r="JX5" s="19">
        <v>46063</v>
      </c>
      <c r="JY5" s="19">
        <v>46091</v>
      </c>
      <c r="JZ5" s="20">
        <v>46122</v>
      </c>
      <c r="KA5" s="19">
        <v>46152</v>
      </c>
      <c r="KB5" s="19">
        <v>46183</v>
      </c>
      <c r="KC5" s="19">
        <v>46213</v>
      </c>
      <c r="KD5" s="19">
        <v>46244</v>
      </c>
      <c r="KE5" s="19">
        <v>46275</v>
      </c>
      <c r="KF5" s="18">
        <v>46305</v>
      </c>
      <c r="KG5" s="20">
        <v>46336</v>
      </c>
      <c r="KH5" s="19">
        <v>46366</v>
      </c>
      <c r="KI5" s="21" t="s">
        <v>361</v>
      </c>
      <c r="KJ5" s="21" t="s">
        <v>362</v>
      </c>
      <c r="KK5" s="21" t="s">
        <v>363</v>
      </c>
      <c r="KL5" s="21" t="s">
        <v>364</v>
      </c>
      <c r="KM5" s="21" t="s">
        <v>365</v>
      </c>
      <c r="KN5" s="24" t="s">
        <v>366</v>
      </c>
      <c r="KO5" s="21" t="s">
        <v>367</v>
      </c>
      <c r="KP5" s="26" t="s">
        <v>368</v>
      </c>
      <c r="KQ5" s="21" t="s">
        <v>369</v>
      </c>
      <c r="KR5" s="21" t="s">
        <v>370</v>
      </c>
      <c r="KS5" s="21" t="s">
        <v>371</v>
      </c>
      <c r="KT5" s="21" t="s">
        <v>372</v>
      </c>
      <c r="KU5" s="24" t="s">
        <v>373</v>
      </c>
      <c r="KV5" s="21" t="s">
        <v>374</v>
      </c>
      <c r="KW5" s="21" t="s">
        <v>375</v>
      </c>
      <c r="KX5" s="21" t="s">
        <v>376</v>
      </c>
      <c r="KY5" s="21" t="s">
        <v>377</v>
      </c>
      <c r="KZ5" s="21" t="s">
        <v>378</v>
      </c>
      <c r="LA5" s="36" t="s">
        <v>379</v>
      </c>
      <c r="LB5" s="23">
        <v>46033</v>
      </c>
      <c r="LC5" s="19">
        <v>46064</v>
      </c>
      <c r="LD5" s="19">
        <v>46092</v>
      </c>
      <c r="LE5" s="19">
        <v>46123</v>
      </c>
      <c r="LF5" s="19">
        <v>46153</v>
      </c>
      <c r="LG5" s="19">
        <v>46184</v>
      </c>
      <c r="LH5" s="19">
        <v>46214</v>
      </c>
      <c r="LI5" s="20">
        <v>46245</v>
      </c>
      <c r="LJ5" s="19">
        <v>46276</v>
      </c>
      <c r="LK5" s="19">
        <v>46306</v>
      </c>
      <c r="LL5" s="19">
        <v>46337</v>
      </c>
      <c r="LM5" s="19">
        <v>46367</v>
      </c>
      <c r="LN5" s="21" t="s">
        <v>380</v>
      </c>
      <c r="LO5" s="21" t="s">
        <v>381</v>
      </c>
      <c r="LP5" s="24" t="s">
        <v>382</v>
      </c>
      <c r="LQ5" s="21" t="s">
        <v>383</v>
      </c>
      <c r="LR5" s="21" t="s">
        <v>384</v>
      </c>
      <c r="LS5" s="21" t="s">
        <v>385</v>
      </c>
      <c r="LT5" s="21" t="s">
        <v>386</v>
      </c>
      <c r="LU5" s="21" t="s">
        <v>387</v>
      </c>
      <c r="LV5" s="21" t="s">
        <v>388</v>
      </c>
      <c r="LW5" s="24" t="s">
        <v>389</v>
      </c>
      <c r="LX5" s="21" t="s">
        <v>390</v>
      </c>
      <c r="LY5" s="21" t="s">
        <v>391</v>
      </c>
      <c r="LZ5" s="21" t="s">
        <v>392</v>
      </c>
      <c r="MA5" s="21" t="s">
        <v>393</v>
      </c>
      <c r="MB5" s="21" t="s">
        <v>394</v>
      </c>
      <c r="MC5" s="21" t="s">
        <v>395</v>
      </c>
      <c r="MD5" s="24" t="s">
        <v>396</v>
      </c>
      <c r="ME5" s="25" t="s">
        <v>397</v>
      </c>
      <c r="MF5" s="35">
        <v>46034</v>
      </c>
      <c r="MG5" s="19">
        <v>46065</v>
      </c>
      <c r="MH5" s="19">
        <v>46093</v>
      </c>
      <c r="MI5" s="19">
        <v>46124</v>
      </c>
      <c r="MJ5" s="19">
        <v>46154</v>
      </c>
      <c r="MK5" s="20">
        <v>46185</v>
      </c>
      <c r="ML5" s="19">
        <v>46215</v>
      </c>
      <c r="MM5" s="19">
        <v>46246</v>
      </c>
      <c r="MN5" s="19">
        <v>46277</v>
      </c>
      <c r="MO5" s="19">
        <v>46307</v>
      </c>
      <c r="MP5" s="19">
        <v>46338</v>
      </c>
      <c r="MQ5" s="18">
        <v>46368</v>
      </c>
      <c r="MR5" s="24" t="s">
        <v>398</v>
      </c>
      <c r="MS5" s="21" t="s">
        <v>399</v>
      </c>
      <c r="MT5" s="21" t="s">
        <v>400</v>
      </c>
      <c r="MU5" s="21" t="s">
        <v>401</v>
      </c>
      <c r="MV5" s="21" t="s">
        <v>402</v>
      </c>
      <c r="MW5" s="21" t="s">
        <v>403</v>
      </c>
      <c r="MX5" s="21" t="s">
        <v>404</v>
      </c>
      <c r="MY5" s="24" t="s">
        <v>405</v>
      </c>
      <c r="MZ5" s="21" t="s">
        <v>406</v>
      </c>
      <c r="NA5" s="21" t="s">
        <v>407</v>
      </c>
      <c r="NB5" s="21" t="s">
        <v>408</v>
      </c>
      <c r="NC5" s="21" t="s">
        <v>409</v>
      </c>
      <c r="ND5" s="26" t="s">
        <v>410</v>
      </c>
      <c r="NE5" s="26" t="s">
        <v>411</v>
      </c>
      <c r="NF5" s="24" t="s">
        <v>412</v>
      </c>
      <c r="NG5" s="21" t="s">
        <v>413</v>
      </c>
      <c r="NH5" s="21" t="s">
        <v>414</v>
      </c>
      <c r="NI5" s="21" t="s">
        <v>415</v>
      </c>
      <c r="NJ5" s="36" t="s">
        <v>416</v>
      </c>
    </row>
    <row r="6" spans="1:374">
      <c r="A6" s="145" t="s">
        <v>417</v>
      </c>
      <c r="B6" s="38" t="s">
        <v>22</v>
      </c>
      <c r="C6" s="38" t="s">
        <v>418</v>
      </c>
      <c r="D6" s="39"/>
      <c r="E6" s="39">
        <v>21</v>
      </c>
      <c r="F6" s="39">
        <f t="shared" ref="F6:F35" si="0">COUNT(J6,M6,T6,AA6,AH6,AO6,AV6,BC6,BJ6,BQ6,BX6,CE6,CJ6,CL6,CS6,CX6,CZ6,DA6,DG6,DN6,DZ6,EB6,DU6,EI6,EP6,EW6,EZ6,FD6,FE6,FK6,FR6,FY6,GF6,GM6,GT6,HA6,HH6,HO6,HV6,IC6,IJ6,IQ6,IX6,JE6,JL6,JS6,JZ6,KF6,KG6,KN6,KP6,KU6,LB6,LI6,LP6,LW6,MD6,MK6,MQ6,MR6,MY6,ND6,NE6,NF6)</f>
        <v>0</v>
      </c>
      <c r="G6" s="39">
        <f t="shared" ref="G6:G35" si="1">D6+E6+F6</f>
        <v>21</v>
      </c>
      <c r="H6" s="39">
        <f t="shared" ref="H6:H35" si="2">SUM(J6:NJ6)-ND6-NE6-MQ6-KP6-KF6-FE6-EZ6-DZ6-CZ6-DA6-CX6-CJ6-J6-T6-M6-AA6-AH6-AO6-AV6-BC6-BJ6-BQ6-BX6-CE6-CL6-CS6-DG6-DN6-DU6-EB6-EI6-EP6-EW6-FD6-FK6-FR6-FY6-GF6-GT6-HA6-HH6-HO6-HV6-IC6-IJ6-IQ6-IX6-JE6-JL6-JS6-KG6-KN6-KU6-LB6-LI6-LP6-LW6-MD6-MR6-MY6-NF6</f>
        <v>2</v>
      </c>
      <c r="I6" s="39">
        <f t="shared" ref="I6:I15" si="3">G6-H6</f>
        <v>19</v>
      </c>
      <c r="J6" s="40"/>
      <c r="K6" s="39"/>
      <c r="L6" s="39"/>
      <c r="M6" s="41"/>
      <c r="N6" s="39"/>
      <c r="O6" s="39"/>
      <c r="P6" s="39"/>
      <c r="Q6" s="39"/>
      <c r="R6" s="39"/>
      <c r="S6" s="39"/>
      <c r="T6" s="41"/>
      <c r="U6" s="39"/>
      <c r="V6" s="39"/>
      <c r="W6" s="39"/>
      <c r="X6" s="39"/>
      <c r="Y6" s="39"/>
      <c r="Z6" s="39"/>
      <c r="AA6" s="41"/>
      <c r="AB6" s="39"/>
      <c r="AC6" s="39"/>
      <c r="AD6" s="39"/>
      <c r="AE6" s="39"/>
      <c r="AF6" s="39"/>
      <c r="AG6" s="39"/>
      <c r="AH6" s="41"/>
      <c r="AI6" s="39"/>
      <c r="AJ6" s="39"/>
      <c r="AK6" s="39"/>
      <c r="AL6" s="39"/>
      <c r="AM6" s="39"/>
      <c r="AN6" s="42"/>
      <c r="AO6" s="43"/>
      <c r="AP6" s="39"/>
      <c r="AQ6" s="39"/>
      <c r="AR6" s="39"/>
      <c r="AS6" s="39"/>
      <c r="AT6" s="39"/>
      <c r="AU6" s="39"/>
      <c r="AV6" s="41"/>
      <c r="AW6" s="39"/>
      <c r="AX6" s="39"/>
      <c r="AY6" s="39"/>
      <c r="AZ6" s="39"/>
      <c r="BA6" s="39"/>
      <c r="BB6" s="39"/>
      <c r="BC6" s="41"/>
      <c r="BD6" s="39"/>
      <c r="BE6" s="39"/>
      <c r="BF6" s="39"/>
      <c r="BG6" s="39"/>
      <c r="BH6" s="39"/>
      <c r="BI6" s="39"/>
      <c r="BJ6" s="41"/>
      <c r="BK6" s="39"/>
      <c r="BL6" s="39"/>
      <c r="BM6" s="39"/>
      <c r="BN6" s="39"/>
      <c r="BO6" s="39"/>
      <c r="BP6" s="42"/>
      <c r="BQ6" s="43"/>
      <c r="BR6" s="39"/>
      <c r="BS6" s="39"/>
      <c r="BT6" s="39"/>
      <c r="BU6" s="39"/>
      <c r="BV6" s="39"/>
      <c r="BW6" s="39"/>
      <c r="BX6" s="41"/>
      <c r="BY6" s="39"/>
      <c r="BZ6" s="39"/>
      <c r="CA6" s="39"/>
      <c r="CB6" s="39"/>
      <c r="CC6" s="39"/>
      <c r="CD6" s="39"/>
      <c r="CE6" s="41"/>
      <c r="CF6" s="39"/>
      <c r="CG6" s="39"/>
      <c r="CH6" s="39"/>
      <c r="CI6" s="39"/>
      <c r="CJ6" s="40"/>
      <c r="CK6" s="39"/>
      <c r="CL6" s="41"/>
      <c r="CM6" s="39"/>
      <c r="CN6" s="39"/>
      <c r="CO6" s="39"/>
      <c r="CP6" s="39"/>
      <c r="CQ6" s="39"/>
      <c r="CR6" s="39"/>
      <c r="CS6" s="41"/>
      <c r="CT6" s="39"/>
      <c r="CU6" s="42"/>
      <c r="CV6" s="44"/>
      <c r="CW6" s="39"/>
      <c r="CX6" s="40"/>
      <c r="CY6" s="39"/>
      <c r="CZ6" s="40"/>
      <c r="DA6" s="40"/>
      <c r="DB6" s="39">
        <v>1</v>
      </c>
      <c r="DC6" s="39">
        <v>1</v>
      </c>
      <c r="DD6" s="39"/>
      <c r="DE6" s="39"/>
      <c r="DF6" s="39"/>
      <c r="DG6" s="41"/>
      <c r="DH6" s="39"/>
      <c r="DI6" s="39"/>
      <c r="DJ6" s="39"/>
      <c r="DK6" s="39"/>
      <c r="DL6" s="39"/>
      <c r="DM6" s="39"/>
      <c r="DN6" s="41"/>
      <c r="DO6" s="39"/>
      <c r="DP6" s="39"/>
      <c r="DQ6" s="39"/>
      <c r="DR6" s="39"/>
      <c r="DS6" s="39"/>
      <c r="DT6" s="39"/>
      <c r="DU6" s="41"/>
      <c r="DV6" s="39"/>
      <c r="DW6" s="39"/>
      <c r="DX6" s="39"/>
      <c r="DY6" s="42"/>
      <c r="DZ6" s="45"/>
      <c r="EA6" s="39"/>
      <c r="EB6" s="41"/>
      <c r="EC6" s="39"/>
      <c r="ED6" s="39"/>
      <c r="EE6" s="39"/>
      <c r="EF6" s="39"/>
      <c r="EG6" s="39"/>
      <c r="EH6" s="39"/>
      <c r="EI6" s="41"/>
      <c r="EJ6" s="39"/>
      <c r="EK6" s="39"/>
      <c r="EL6" s="39"/>
      <c r="EM6" s="39"/>
      <c r="EN6" s="39"/>
      <c r="EO6" s="39"/>
      <c r="EP6" s="41"/>
      <c r="EQ6" s="39"/>
      <c r="ER6" s="39"/>
      <c r="ES6" s="39"/>
      <c r="ET6" s="39"/>
      <c r="EU6" s="39"/>
      <c r="EV6" s="39"/>
      <c r="EW6" s="41"/>
      <c r="EX6" s="39"/>
      <c r="EY6" s="39"/>
      <c r="EZ6" s="40"/>
      <c r="FA6" s="39"/>
      <c r="FB6" s="39"/>
      <c r="FC6" s="39"/>
      <c r="FD6" s="46"/>
      <c r="FE6" s="45"/>
      <c r="FF6" s="39"/>
      <c r="FG6" s="39"/>
      <c r="FH6" s="39"/>
      <c r="FI6" s="39"/>
      <c r="FJ6" s="39"/>
      <c r="FK6" s="41"/>
      <c r="FL6" s="39"/>
      <c r="FM6" s="39"/>
      <c r="FN6" s="39"/>
      <c r="FO6" s="39"/>
      <c r="FP6" s="39"/>
      <c r="FQ6" s="39"/>
      <c r="FR6" s="41"/>
      <c r="FS6" s="39"/>
      <c r="FT6" s="39"/>
      <c r="FU6" s="39"/>
      <c r="FV6" s="39"/>
      <c r="FW6" s="39"/>
      <c r="FX6" s="39"/>
      <c r="FY6" s="41"/>
      <c r="FZ6" s="39"/>
      <c r="GA6" s="39"/>
      <c r="GB6" s="39"/>
      <c r="GC6" s="39"/>
      <c r="GD6" s="39"/>
      <c r="GE6" s="39"/>
      <c r="GF6" s="41"/>
      <c r="GG6" s="39"/>
      <c r="GH6" s="42"/>
      <c r="GI6" s="44"/>
      <c r="GJ6" s="39"/>
      <c r="GK6" s="39"/>
      <c r="GL6" s="39"/>
      <c r="GM6" s="41"/>
      <c r="GN6" s="39"/>
      <c r="GO6" s="39"/>
      <c r="GP6" s="39"/>
      <c r="GQ6" s="39"/>
      <c r="GR6" s="39"/>
      <c r="GS6" s="39"/>
      <c r="GT6" s="41"/>
      <c r="GU6" s="39"/>
      <c r="GV6" s="39"/>
      <c r="GW6" s="39"/>
      <c r="GX6" s="39"/>
      <c r="GY6" s="39"/>
      <c r="GZ6" s="39"/>
      <c r="HA6" s="41"/>
      <c r="HB6" s="39"/>
      <c r="HC6" s="39"/>
      <c r="HD6" s="39"/>
      <c r="HE6" s="39"/>
      <c r="HF6" s="39"/>
      <c r="HG6" s="39"/>
      <c r="HH6" s="41"/>
      <c r="HI6" s="39"/>
      <c r="HJ6" s="39"/>
      <c r="HK6" s="39"/>
      <c r="HL6" s="39"/>
      <c r="HM6" s="42"/>
      <c r="HN6" s="44"/>
      <c r="HO6" s="41"/>
      <c r="HP6" s="39"/>
      <c r="HQ6" s="39"/>
      <c r="HR6" s="39"/>
      <c r="HS6" s="39"/>
      <c r="HT6" s="39"/>
      <c r="HU6" s="39"/>
      <c r="HV6" s="41"/>
      <c r="HW6" s="39"/>
      <c r="HX6" s="39"/>
      <c r="HY6" s="39"/>
      <c r="HZ6" s="39"/>
      <c r="IA6" s="39"/>
      <c r="IB6" s="39"/>
      <c r="IC6" s="41"/>
      <c r="ID6" s="39"/>
      <c r="IE6" s="39"/>
      <c r="IF6" s="39"/>
      <c r="IG6" s="39"/>
      <c r="IH6" s="39"/>
      <c r="II6" s="39"/>
      <c r="IJ6" s="41"/>
      <c r="IK6" s="39"/>
      <c r="IL6" s="39"/>
      <c r="IM6" s="39"/>
      <c r="IN6" s="39"/>
      <c r="IO6" s="39"/>
      <c r="IP6" s="39"/>
      <c r="IQ6" s="41"/>
      <c r="IR6" s="42"/>
      <c r="IS6" s="44"/>
      <c r="IT6" s="39"/>
      <c r="IU6" s="39"/>
      <c r="IV6" s="39"/>
      <c r="IW6" s="39"/>
      <c r="IX6" s="41"/>
      <c r="IY6" s="39"/>
      <c r="IZ6" s="39"/>
      <c r="JA6" s="39"/>
      <c r="JB6" s="39"/>
      <c r="JC6" s="39"/>
      <c r="JD6" s="39"/>
      <c r="JE6" s="41"/>
      <c r="JF6" s="39"/>
      <c r="JG6" s="39"/>
      <c r="JH6" s="39"/>
      <c r="JI6" s="39"/>
      <c r="JJ6" s="39"/>
      <c r="JK6" s="39"/>
      <c r="JL6" s="41"/>
      <c r="JM6" s="39"/>
      <c r="JN6" s="39"/>
      <c r="JO6" s="39"/>
      <c r="JP6" s="39"/>
      <c r="JQ6" s="39"/>
      <c r="JR6" s="39"/>
      <c r="JS6" s="41"/>
      <c r="JT6" s="39"/>
      <c r="JU6" s="39"/>
      <c r="JV6" s="42"/>
      <c r="JW6" s="44"/>
      <c r="JX6" s="39"/>
      <c r="JY6" s="39"/>
      <c r="JZ6" s="41"/>
      <c r="KA6" s="39"/>
      <c r="KB6" s="39"/>
      <c r="KC6" s="39"/>
      <c r="KD6" s="39"/>
      <c r="KE6" s="39"/>
      <c r="KF6" s="40"/>
      <c r="KG6" s="41"/>
      <c r="KH6" s="39"/>
      <c r="KI6" s="39"/>
      <c r="KJ6" s="39"/>
      <c r="KK6" s="39"/>
      <c r="KL6" s="39"/>
      <c r="KM6" s="39"/>
      <c r="KN6" s="41"/>
      <c r="KO6" s="39"/>
      <c r="KP6" s="40"/>
      <c r="KQ6" s="39"/>
      <c r="KR6" s="39"/>
      <c r="KS6" s="39"/>
      <c r="KT6" s="39"/>
      <c r="KU6" s="41"/>
      <c r="KV6" s="39"/>
      <c r="KW6" s="39"/>
      <c r="KX6" s="39"/>
      <c r="KY6" s="39"/>
      <c r="KZ6" s="39"/>
      <c r="LA6" s="42"/>
      <c r="LB6" s="43"/>
      <c r="LC6" s="39"/>
      <c r="LD6" s="39"/>
      <c r="LE6" s="39"/>
      <c r="LF6" s="39"/>
      <c r="LG6" s="39"/>
      <c r="LH6" s="39"/>
      <c r="LI6" s="41"/>
      <c r="LJ6" s="39"/>
      <c r="LK6" s="39"/>
      <c r="LL6" s="39"/>
      <c r="LM6" s="39"/>
      <c r="LN6" s="39"/>
      <c r="LO6" s="39"/>
      <c r="LP6" s="41"/>
      <c r="LQ6" s="39"/>
      <c r="LR6" s="39"/>
      <c r="LS6" s="39"/>
      <c r="LT6" s="39"/>
      <c r="LU6" s="39"/>
      <c r="LV6" s="39"/>
      <c r="LW6" s="41"/>
      <c r="LX6" s="39"/>
      <c r="LY6" s="39"/>
      <c r="LZ6" s="39"/>
      <c r="MA6" s="39"/>
      <c r="MB6" s="39"/>
      <c r="MC6" s="39"/>
      <c r="MD6" s="41"/>
      <c r="ME6" s="42"/>
      <c r="MF6" s="44"/>
      <c r="MG6" s="39"/>
      <c r="MH6" s="39"/>
      <c r="MI6" s="39"/>
      <c r="MJ6" s="39"/>
      <c r="MK6" s="41"/>
      <c r="ML6" s="39"/>
      <c r="MM6" s="39"/>
      <c r="MN6" s="39"/>
      <c r="MO6" s="39"/>
      <c r="MP6" s="39"/>
      <c r="MQ6" s="40"/>
      <c r="MR6" s="41"/>
      <c r="MS6" s="39"/>
      <c r="MT6" s="39"/>
      <c r="MU6" s="39"/>
      <c r="MV6" s="39"/>
      <c r="MW6" s="39"/>
      <c r="MX6" s="39"/>
      <c r="MY6" s="41"/>
      <c r="MZ6" s="39"/>
      <c r="NA6" s="39"/>
      <c r="NB6" s="39"/>
      <c r="NC6" s="39"/>
      <c r="ND6" s="40"/>
      <c r="NE6" s="40"/>
      <c r="NF6" s="41"/>
      <c r="NG6" s="39"/>
      <c r="NH6" s="39"/>
      <c r="NI6" s="39"/>
      <c r="NJ6" s="42"/>
    </row>
    <row r="7" spans="1:374">
      <c r="A7" s="145" t="s">
        <v>419</v>
      </c>
      <c r="B7" s="38" t="s">
        <v>72</v>
      </c>
      <c r="C7" s="38" t="s">
        <v>420</v>
      </c>
      <c r="D7" s="39">
        <v>5</v>
      </c>
      <c r="E7" s="39">
        <v>21</v>
      </c>
      <c r="F7" s="39">
        <f t="shared" si="0"/>
        <v>0</v>
      </c>
      <c r="G7" s="39">
        <f t="shared" si="1"/>
        <v>26</v>
      </c>
      <c r="H7" s="39">
        <f t="shared" si="2"/>
        <v>5</v>
      </c>
      <c r="I7" s="39">
        <f t="shared" si="3"/>
        <v>21</v>
      </c>
      <c r="J7" s="40"/>
      <c r="K7" s="39"/>
      <c r="L7" s="39"/>
      <c r="M7" s="41"/>
      <c r="N7" s="39"/>
      <c r="O7" s="39"/>
      <c r="P7" s="39"/>
      <c r="Q7" s="39"/>
      <c r="R7" s="39"/>
      <c r="S7" s="39"/>
      <c r="T7" s="41"/>
      <c r="U7" s="39"/>
      <c r="V7" s="39"/>
      <c r="W7" s="39"/>
      <c r="X7" s="39"/>
      <c r="Y7" s="39"/>
      <c r="Z7" s="39"/>
      <c r="AA7" s="41"/>
      <c r="AB7" s="39"/>
      <c r="AC7" s="39"/>
      <c r="AD7" s="39"/>
      <c r="AE7" s="39"/>
      <c r="AF7" s="39"/>
      <c r="AG7" s="39"/>
      <c r="AH7" s="41"/>
      <c r="AI7" s="39"/>
      <c r="AJ7" s="39"/>
      <c r="AK7" s="39"/>
      <c r="AL7" s="39"/>
      <c r="AM7" s="39"/>
      <c r="AN7" s="42"/>
      <c r="AO7" s="43"/>
      <c r="AP7" s="39"/>
      <c r="AQ7" s="39"/>
      <c r="AR7" s="39"/>
      <c r="AS7" s="39"/>
      <c r="AT7" s="39"/>
      <c r="AU7" s="39"/>
      <c r="AV7" s="41"/>
      <c r="AW7" s="39"/>
      <c r="AX7" s="39"/>
      <c r="AY7" s="39"/>
      <c r="AZ7" s="39"/>
      <c r="BA7" s="39"/>
      <c r="BB7" s="39"/>
      <c r="BC7" s="41"/>
      <c r="BD7" s="39"/>
      <c r="BE7" s="39"/>
      <c r="BF7" s="39"/>
      <c r="BG7" s="39"/>
      <c r="BH7" s="39"/>
      <c r="BI7" s="39"/>
      <c r="BJ7" s="41"/>
      <c r="BK7" s="39"/>
      <c r="BL7" s="39"/>
      <c r="BM7" s="39"/>
      <c r="BN7" s="39"/>
      <c r="BO7" s="39"/>
      <c r="BP7" s="42"/>
      <c r="BQ7" s="43"/>
      <c r="BR7" s="39"/>
      <c r="BS7" s="39"/>
      <c r="BT7" s="39"/>
      <c r="BU7" s="39"/>
      <c r="BV7" s="39"/>
      <c r="BW7" s="39"/>
      <c r="BX7" s="41"/>
      <c r="BY7" s="39">
        <v>1</v>
      </c>
      <c r="BZ7" s="39">
        <v>1</v>
      </c>
      <c r="CA7" s="39">
        <v>1</v>
      </c>
      <c r="CB7" s="39">
        <v>1</v>
      </c>
      <c r="CC7" s="39">
        <v>1</v>
      </c>
      <c r="CD7" s="39"/>
      <c r="CE7" s="41"/>
      <c r="CF7" s="39"/>
      <c r="CG7" s="39"/>
      <c r="CH7" s="39"/>
      <c r="CI7" s="39"/>
      <c r="CJ7" s="40"/>
      <c r="CK7" s="39"/>
      <c r="CL7" s="41"/>
      <c r="CM7" s="39"/>
      <c r="CN7" s="39"/>
      <c r="CO7" s="39"/>
      <c r="CP7" s="39"/>
      <c r="CQ7" s="39"/>
      <c r="CR7" s="39"/>
      <c r="CS7" s="41"/>
      <c r="CT7" s="39"/>
      <c r="CU7" s="42"/>
      <c r="CV7" s="44"/>
      <c r="CW7" s="39"/>
      <c r="CX7" s="40"/>
      <c r="CY7" s="39"/>
      <c r="CZ7" s="40"/>
      <c r="DA7" s="40"/>
      <c r="DB7" s="39"/>
      <c r="DC7" s="39"/>
      <c r="DD7" s="39"/>
      <c r="DE7" s="39"/>
      <c r="DF7" s="39"/>
      <c r="DG7" s="41"/>
      <c r="DH7" s="39"/>
      <c r="DI7" s="39"/>
      <c r="DJ7" s="39"/>
      <c r="DK7" s="39"/>
      <c r="DL7" s="39"/>
      <c r="DM7" s="39"/>
      <c r="DN7" s="41"/>
      <c r="DO7" s="39"/>
      <c r="DP7" s="39"/>
      <c r="DQ7" s="39"/>
      <c r="DR7" s="39"/>
      <c r="DS7" s="39"/>
      <c r="DT7" s="39"/>
      <c r="DU7" s="41"/>
      <c r="DV7" s="39"/>
      <c r="DW7" s="39"/>
      <c r="DX7" s="39"/>
      <c r="DY7" s="42"/>
      <c r="DZ7" s="45"/>
      <c r="EA7" s="39"/>
      <c r="EB7" s="41"/>
      <c r="EC7" s="39"/>
      <c r="ED7" s="39"/>
      <c r="EE7" s="39"/>
      <c r="EF7" s="39"/>
      <c r="EG7" s="39"/>
      <c r="EH7" s="39"/>
      <c r="EI7" s="41"/>
      <c r="EJ7" s="39"/>
      <c r="EK7" s="39"/>
      <c r="EL7" s="39"/>
      <c r="EM7" s="39"/>
      <c r="EN7" s="39"/>
      <c r="EO7" s="39"/>
      <c r="EP7" s="41"/>
      <c r="EQ7" s="39"/>
      <c r="ER7" s="39"/>
      <c r="ES7" s="39"/>
      <c r="ET7" s="39"/>
      <c r="EU7" s="39"/>
      <c r="EV7" s="39"/>
      <c r="EW7" s="41"/>
      <c r="EX7" s="39"/>
      <c r="EY7" s="39"/>
      <c r="EZ7" s="40"/>
      <c r="FA7" s="39"/>
      <c r="FB7" s="39"/>
      <c r="FC7" s="39"/>
      <c r="FD7" s="46"/>
      <c r="FE7" s="45"/>
      <c r="FF7" s="39"/>
      <c r="FG7" s="39"/>
      <c r="FH7" s="39"/>
      <c r="FI7" s="39"/>
      <c r="FJ7" s="39"/>
      <c r="FK7" s="41"/>
      <c r="FL7" s="39"/>
      <c r="FM7" s="39"/>
      <c r="FN7" s="39"/>
      <c r="FO7" s="39"/>
      <c r="FP7" s="39"/>
      <c r="FQ7" s="39"/>
      <c r="FR7" s="41"/>
      <c r="FS7" s="39"/>
      <c r="FT7" s="39"/>
      <c r="FU7" s="39"/>
      <c r="FV7" s="39"/>
      <c r="FW7" s="39"/>
      <c r="FX7" s="39"/>
      <c r="FY7" s="41"/>
      <c r="FZ7" s="39"/>
      <c r="GA7" s="39"/>
      <c r="GB7" s="39"/>
      <c r="GC7" s="39"/>
      <c r="GD7" s="39"/>
      <c r="GE7" s="39"/>
      <c r="GF7" s="41"/>
      <c r="GG7" s="39"/>
      <c r="GH7" s="42"/>
      <c r="GI7" s="44"/>
      <c r="GJ7" s="39"/>
      <c r="GK7" s="39"/>
      <c r="GL7" s="39"/>
      <c r="GM7" s="41"/>
      <c r="GN7" s="39"/>
      <c r="GO7" s="39"/>
      <c r="GP7" s="39"/>
      <c r="GQ7" s="39"/>
      <c r="GR7" s="39"/>
      <c r="GS7" s="39"/>
      <c r="GT7" s="41"/>
      <c r="GU7" s="39"/>
      <c r="GV7" s="39"/>
      <c r="GW7" s="39"/>
      <c r="GX7" s="39"/>
      <c r="GY7" s="39"/>
      <c r="GZ7" s="39"/>
      <c r="HA7" s="41"/>
      <c r="HB7" s="39"/>
      <c r="HC7" s="39"/>
      <c r="HD7" s="39"/>
      <c r="HE7" s="39"/>
      <c r="HF7" s="39"/>
      <c r="HG7" s="39"/>
      <c r="HH7" s="41"/>
      <c r="HI7" s="39"/>
      <c r="HJ7" s="39"/>
      <c r="HK7" s="39"/>
      <c r="HL7" s="39"/>
      <c r="HM7" s="42"/>
      <c r="HN7" s="44"/>
      <c r="HO7" s="41"/>
      <c r="HP7" s="39"/>
      <c r="HQ7" s="39"/>
      <c r="HR7" s="39"/>
      <c r="HS7" s="39"/>
      <c r="HT7" s="39"/>
      <c r="HU7" s="39"/>
      <c r="HV7" s="41"/>
      <c r="HW7" s="39"/>
      <c r="HX7" s="39"/>
      <c r="HY7" s="39"/>
      <c r="HZ7" s="39"/>
      <c r="IA7" s="39"/>
      <c r="IB7" s="39"/>
      <c r="IC7" s="41"/>
      <c r="ID7" s="39"/>
      <c r="IE7" s="39"/>
      <c r="IF7" s="39"/>
      <c r="IG7" s="39"/>
      <c r="IH7" s="39"/>
      <c r="II7" s="39"/>
      <c r="IJ7" s="41"/>
      <c r="IK7" s="39"/>
      <c r="IL7" s="39"/>
      <c r="IM7" s="39"/>
      <c r="IN7" s="39"/>
      <c r="IO7" s="39"/>
      <c r="IP7" s="39"/>
      <c r="IQ7" s="41"/>
      <c r="IR7" s="42"/>
      <c r="IS7" s="44"/>
      <c r="IT7" s="39"/>
      <c r="IU7" s="39"/>
      <c r="IV7" s="39"/>
      <c r="IW7" s="39"/>
      <c r="IX7" s="41"/>
      <c r="IY7" s="39"/>
      <c r="IZ7" s="39"/>
      <c r="JA7" s="39"/>
      <c r="JB7" s="39"/>
      <c r="JC7" s="39"/>
      <c r="JD7" s="39"/>
      <c r="JE7" s="41"/>
      <c r="JF7" s="39"/>
      <c r="JG7" s="39"/>
      <c r="JH7" s="39"/>
      <c r="JI7" s="39"/>
      <c r="JJ7" s="39"/>
      <c r="JK7" s="39"/>
      <c r="JL7" s="41"/>
      <c r="JM7" s="39"/>
      <c r="JN7" s="39"/>
      <c r="JO7" s="39"/>
      <c r="JP7" s="39"/>
      <c r="JQ7" s="39"/>
      <c r="JR7" s="39"/>
      <c r="JS7" s="41"/>
      <c r="JT7" s="39"/>
      <c r="JU7" s="39"/>
      <c r="JV7" s="42"/>
      <c r="JW7" s="44"/>
      <c r="JX7" s="39"/>
      <c r="JY7" s="39"/>
      <c r="JZ7" s="41"/>
      <c r="KA7" s="39"/>
      <c r="KB7" s="39"/>
      <c r="KC7" s="39"/>
      <c r="KD7" s="39"/>
      <c r="KE7" s="39"/>
      <c r="KF7" s="40"/>
      <c r="KG7" s="41"/>
      <c r="KH7" s="39"/>
      <c r="KI7" s="39"/>
      <c r="KJ7" s="39"/>
      <c r="KK7" s="39"/>
      <c r="KL7" s="39"/>
      <c r="KM7" s="39"/>
      <c r="KN7" s="41"/>
      <c r="KO7" s="39"/>
      <c r="KP7" s="40"/>
      <c r="KQ7" s="39"/>
      <c r="KR7" s="39"/>
      <c r="KS7" s="39"/>
      <c r="KT7" s="39"/>
      <c r="KU7" s="41"/>
      <c r="KV7" s="39"/>
      <c r="KW7" s="39"/>
      <c r="KX7" s="39"/>
      <c r="KY7" s="39"/>
      <c r="KZ7" s="39"/>
      <c r="LA7" s="42"/>
      <c r="LB7" s="43"/>
      <c r="LC7" s="39"/>
      <c r="LD7" s="39"/>
      <c r="LE7" s="39"/>
      <c r="LF7" s="39"/>
      <c r="LG7" s="39"/>
      <c r="LH7" s="39"/>
      <c r="LI7" s="41"/>
      <c r="LJ7" s="39"/>
      <c r="LK7" s="39"/>
      <c r="LL7" s="39"/>
      <c r="LM7" s="39"/>
      <c r="LN7" s="39"/>
      <c r="LO7" s="39"/>
      <c r="LP7" s="41"/>
      <c r="LQ7" s="39"/>
      <c r="LR7" s="39"/>
      <c r="LS7" s="39"/>
      <c r="LT7" s="39"/>
      <c r="LU7" s="39"/>
      <c r="LV7" s="39"/>
      <c r="LW7" s="41"/>
      <c r="LX7" s="39"/>
      <c r="LY7" s="39"/>
      <c r="LZ7" s="39"/>
      <c r="MA7" s="39"/>
      <c r="MB7" s="39"/>
      <c r="MC7" s="39"/>
      <c r="MD7" s="41"/>
      <c r="ME7" s="42"/>
      <c r="MF7" s="44"/>
      <c r="MG7" s="39"/>
      <c r="MH7" s="39"/>
      <c r="MI7" s="39"/>
      <c r="MJ7" s="39"/>
      <c r="MK7" s="41"/>
      <c r="ML7" s="39"/>
      <c r="MM7" s="39"/>
      <c r="MN7" s="39"/>
      <c r="MO7" s="39"/>
      <c r="MP7" s="39"/>
      <c r="MQ7" s="40"/>
      <c r="MR7" s="41"/>
      <c r="MS7" s="39"/>
      <c r="MT7" s="39"/>
      <c r="MU7" s="39"/>
      <c r="MV7" s="39"/>
      <c r="MW7" s="39"/>
      <c r="MX7" s="39"/>
      <c r="MY7" s="41"/>
      <c r="MZ7" s="39"/>
      <c r="NA7" s="39"/>
      <c r="NB7" s="39"/>
      <c r="NC7" s="39"/>
      <c r="ND7" s="40"/>
      <c r="NE7" s="40"/>
      <c r="NF7" s="41"/>
      <c r="NG7" s="39"/>
      <c r="NH7" s="39"/>
      <c r="NI7" s="39"/>
      <c r="NJ7" s="42"/>
    </row>
    <row r="8" spans="1:374">
      <c r="A8" s="145" t="s">
        <v>76</v>
      </c>
      <c r="B8" s="38" t="s">
        <v>24</v>
      </c>
      <c r="C8" s="38" t="s">
        <v>418</v>
      </c>
      <c r="D8" s="39"/>
      <c r="E8" s="39">
        <v>21</v>
      </c>
      <c r="F8" s="39">
        <f t="shared" si="0"/>
        <v>0</v>
      </c>
      <c r="G8" s="39">
        <f t="shared" si="1"/>
        <v>21</v>
      </c>
      <c r="H8" s="39">
        <f t="shared" si="2"/>
        <v>13</v>
      </c>
      <c r="I8" s="39">
        <f t="shared" si="3"/>
        <v>8</v>
      </c>
      <c r="J8" s="40"/>
      <c r="K8" s="39"/>
      <c r="L8" s="39"/>
      <c r="M8" s="41"/>
      <c r="N8" s="39"/>
      <c r="O8" s="39"/>
      <c r="P8" s="39"/>
      <c r="Q8" s="39"/>
      <c r="R8" s="39"/>
      <c r="S8" s="39"/>
      <c r="T8" s="41"/>
      <c r="U8" s="39"/>
      <c r="V8" s="39"/>
      <c r="W8" s="39"/>
      <c r="X8" s="39"/>
      <c r="Y8" s="39"/>
      <c r="Z8" s="39"/>
      <c r="AA8" s="41"/>
      <c r="AB8" s="39"/>
      <c r="AC8" s="39"/>
      <c r="AD8" s="39"/>
      <c r="AE8" s="39"/>
      <c r="AF8" s="39"/>
      <c r="AG8" s="39"/>
      <c r="AH8" s="41"/>
      <c r="AI8" s="39"/>
      <c r="AJ8" s="39"/>
      <c r="AK8" s="39"/>
      <c r="AL8" s="39"/>
      <c r="AM8" s="39"/>
      <c r="AN8" s="42"/>
      <c r="AO8" s="43"/>
      <c r="AP8" s="39"/>
      <c r="AQ8" s="39"/>
      <c r="AR8" s="39"/>
      <c r="AS8" s="39"/>
      <c r="AT8" s="39"/>
      <c r="AU8" s="39"/>
      <c r="AV8" s="41"/>
      <c r="AW8" s="39"/>
      <c r="AX8" s="39"/>
      <c r="AY8" s="39">
        <v>1</v>
      </c>
      <c r="AZ8" s="39">
        <v>1</v>
      </c>
      <c r="BA8" s="39">
        <v>1</v>
      </c>
      <c r="BB8" s="39"/>
      <c r="BC8" s="41"/>
      <c r="BD8" s="39">
        <v>1</v>
      </c>
      <c r="BE8" s="39">
        <v>1</v>
      </c>
      <c r="BF8" s="39">
        <v>1</v>
      </c>
      <c r="BG8" s="39">
        <v>1</v>
      </c>
      <c r="BH8" s="39">
        <v>1</v>
      </c>
      <c r="BI8" s="39"/>
      <c r="BJ8" s="41"/>
      <c r="BK8" s="39">
        <v>1</v>
      </c>
      <c r="BL8" s="39">
        <v>1</v>
      </c>
      <c r="BM8" s="39">
        <v>1</v>
      </c>
      <c r="BN8" s="39"/>
      <c r="BO8" s="39"/>
      <c r="BP8" s="42"/>
      <c r="BQ8" s="43"/>
      <c r="BR8" s="39"/>
      <c r="BS8" s="39"/>
      <c r="BT8" s="39"/>
      <c r="BU8" s="39"/>
      <c r="BV8" s="39"/>
      <c r="BW8" s="39"/>
      <c r="BX8" s="41"/>
      <c r="BY8" s="39"/>
      <c r="BZ8" s="39"/>
      <c r="CA8" s="39"/>
      <c r="CB8" s="39"/>
      <c r="CC8" s="39"/>
      <c r="CD8" s="39"/>
      <c r="CE8" s="41"/>
      <c r="CF8" s="39"/>
      <c r="CG8" s="39"/>
      <c r="CH8" s="39"/>
      <c r="CI8" s="39"/>
      <c r="CJ8" s="40"/>
      <c r="CK8" s="39"/>
      <c r="CL8" s="41"/>
      <c r="CM8" s="39"/>
      <c r="CN8" s="39"/>
      <c r="CO8" s="39"/>
      <c r="CP8" s="39"/>
      <c r="CQ8" s="39"/>
      <c r="CR8" s="39"/>
      <c r="CS8" s="41"/>
      <c r="CT8" s="39"/>
      <c r="CU8" s="42"/>
      <c r="CV8" s="44"/>
      <c r="CW8" s="39"/>
      <c r="CX8" s="40"/>
      <c r="CY8" s="39"/>
      <c r="CZ8" s="40"/>
      <c r="DA8" s="40"/>
      <c r="DB8" s="39"/>
      <c r="DC8" s="39"/>
      <c r="DD8" s="39"/>
      <c r="DE8" s="39"/>
      <c r="DF8" s="39"/>
      <c r="DG8" s="41"/>
      <c r="DH8" s="39"/>
      <c r="DI8" s="39"/>
      <c r="DJ8" s="39"/>
      <c r="DK8" s="39">
        <v>1</v>
      </c>
      <c r="DL8" s="39">
        <v>1</v>
      </c>
      <c r="DM8" s="39"/>
      <c r="DN8" s="41"/>
      <c r="DO8" s="39"/>
      <c r="DP8" s="39"/>
      <c r="DQ8" s="39"/>
      <c r="DR8" s="39"/>
      <c r="DS8" s="39"/>
      <c r="DT8" s="39"/>
      <c r="DU8" s="41"/>
      <c r="DV8" s="39"/>
      <c r="DW8" s="39"/>
      <c r="DX8" s="39"/>
      <c r="DY8" s="42"/>
      <c r="DZ8" s="45"/>
      <c r="EA8" s="39"/>
      <c r="EB8" s="41"/>
      <c r="EC8" s="39"/>
      <c r="ED8" s="39"/>
      <c r="EE8" s="39"/>
      <c r="EF8" s="39"/>
      <c r="EG8" s="39"/>
      <c r="EH8" s="39"/>
      <c r="EI8" s="41"/>
      <c r="EJ8" s="39"/>
      <c r="EK8" s="39"/>
      <c r="EL8" s="39"/>
      <c r="EM8" s="39"/>
      <c r="EN8" s="39"/>
      <c r="EO8" s="39"/>
      <c r="EP8" s="41"/>
      <c r="EQ8" s="39"/>
      <c r="ER8" s="39"/>
      <c r="ES8" s="39"/>
      <c r="ET8" s="39"/>
      <c r="EU8" s="39"/>
      <c r="EV8" s="39"/>
      <c r="EW8" s="41"/>
      <c r="EX8" s="39"/>
      <c r="EY8" s="39"/>
      <c r="EZ8" s="40"/>
      <c r="FA8" s="39"/>
      <c r="FB8" s="39"/>
      <c r="FC8" s="39"/>
      <c r="FD8" s="46"/>
      <c r="FE8" s="45"/>
      <c r="FF8" s="39"/>
      <c r="FG8" s="39"/>
      <c r="FH8" s="39"/>
      <c r="FI8" s="39"/>
      <c r="FJ8" s="39"/>
      <c r="FK8" s="41"/>
      <c r="FL8" s="39"/>
      <c r="FM8" s="39"/>
      <c r="FN8" s="39"/>
      <c r="FO8" s="39"/>
      <c r="FP8" s="39"/>
      <c r="FQ8" s="39"/>
      <c r="FR8" s="41"/>
      <c r="FS8" s="39"/>
      <c r="FT8" s="39"/>
      <c r="FU8" s="39"/>
      <c r="FV8" s="39"/>
      <c r="FW8" s="39"/>
      <c r="FX8" s="39"/>
      <c r="FY8" s="41"/>
      <c r="FZ8" s="39"/>
      <c r="GA8" s="39"/>
      <c r="GB8" s="39"/>
      <c r="GC8" s="39"/>
      <c r="GD8" s="39"/>
      <c r="GE8" s="39"/>
      <c r="GF8" s="41"/>
      <c r="GG8" s="39"/>
      <c r="GH8" s="42"/>
      <c r="GI8" s="44"/>
      <c r="GJ8" s="39"/>
      <c r="GK8" s="39"/>
      <c r="GL8" s="39"/>
      <c r="GM8" s="41"/>
      <c r="GN8" s="39"/>
      <c r="GO8" s="39"/>
      <c r="GP8" s="39"/>
      <c r="GQ8" s="39"/>
      <c r="GR8" s="39"/>
      <c r="GS8" s="39"/>
      <c r="GT8" s="41"/>
      <c r="GU8" s="39"/>
      <c r="GV8" s="39"/>
      <c r="GW8" s="39"/>
      <c r="GX8" s="39"/>
      <c r="GY8" s="39"/>
      <c r="GZ8" s="39"/>
      <c r="HA8" s="41"/>
      <c r="HB8" s="39"/>
      <c r="HC8" s="39"/>
      <c r="HD8" s="39"/>
      <c r="HE8" s="39"/>
      <c r="HF8" s="39"/>
      <c r="HG8" s="39"/>
      <c r="HH8" s="41"/>
      <c r="HI8" s="39"/>
      <c r="HJ8" s="39"/>
      <c r="HK8" s="39"/>
      <c r="HL8" s="39"/>
      <c r="HM8" s="42"/>
      <c r="HN8" s="44"/>
      <c r="HO8" s="41"/>
      <c r="HP8" s="39"/>
      <c r="HQ8" s="39"/>
      <c r="HR8" s="39"/>
      <c r="HS8" s="39"/>
      <c r="HT8" s="39"/>
      <c r="HU8" s="39"/>
      <c r="HV8" s="41"/>
      <c r="HW8" s="39"/>
      <c r="HX8" s="39"/>
      <c r="HY8" s="39"/>
      <c r="HZ8" s="39"/>
      <c r="IA8" s="39"/>
      <c r="IB8" s="39"/>
      <c r="IC8" s="41"/>
      <c r="ID8" s="39"/>
      <c r="IE8" s="39"/>
      <c r="IF8" s="39"/>
      <c r="IG8" s="39"/>
      <c r="IH8" s="39"/>
      <c r="II8" s="39"/>
      <c r="IJ8" s="41"/>
      <c r="IK8" s="39"/>
      <c r="IL8" s="39"/>
      <c r="IM8" s="39"/>
      <c r="IN8" s="39"/>
      <c r="IO8" s="39"/>
      <c r="IP8" s="39"/>
      <c r="IQ8" s="41"/>
      <c r="IR8" s="42"/>
      <c r="IS8" s="44"/>
      <c r="IT8" s="39"/>
      <c r="IU8" s="39"/>
      <c r="IV8" s="39"/>
      <c r="IW8" s="39"/>
      <c r="IX8" s="41"/>
      <c r="IY8" s="39"/>
      <c r="IZ8" s="39"/>
      <c r="JA8" s="39"/>
      <c r="JB8" s="39"/>
      <c r="JC8" s="39"/>
      <c r="JD8" s="39"/>
      <c r="JE8" s="41"/>
      <c r="JF8" s="39"/>
      <c r="JG8" s="39"/>
      <c r="JH8" s="39"/>
      <c r="JI8" s="39"/>
      <c r="JJ8" s="39"/>
      <c r="JK8" s="39"/>
      <c r="JL8" s="41"/>
      <c r="JM8" s="39"/>
      <c r="JN8" s="39"/>
      <c r="JO8" s="39"/>
      <c r="JP8" s="39"/>
      <c r="JQ8" s="39"/>
      <c r="JR8" s="39"/>
      <c r="JS8" s="41"/>
      <c r="JT8" s="39"/>
      <c r="JU8" s="39"/>
      <c r="JV8" s="42"/>
      <c r="JW8" s="44"/>
      <c r="JX8" s="39"/>
      <c r="JY8" s="39"/>
      <c r="JZ8" s="41"/>
      <c r="KA8" s="39"/>
      <c r="KB8" s="39"/>
      <c r="KC8" s="39"/>
      <c r="KD8" s="39"/>
      <c r="KE8" s="39"/>
      <c r="KF8" s="40"/>
      <c r="KG8" s="41"/>
      <c r="KH8" s="39"/>
      <c r="KI8" s="39"/>
      <c r="KJ8" s="39"/>
      <c r="KK8" s="39"/>
      <c r="KL8" s="39"/>
      <c r="KM8" s="39"/>
      <c r="KN8" s="41"/>
      <c r="KO8" s="39"/>
      <c r="KP8" s="40"/>
      <c r="KQ8" s="39"/>
      <c r="KR8" s="39"/>
      <c r="KS8" s="39"/>
      <c r="KT8" s="39"/>
      <c r="KU8" s="41"/>
      <c r="KV8" s="39"/>
      <c r="KW8" s="39"/>
      <c r="KX8" s="39"/>
      <c r="KY8" s="39"/>
      <c r="KZ8" s="39"/>
      <c r="LA8" s="42"/>
      <c r="LB8" s="43"/>
      <c r="LC8" s="39"/>
      <c r="LD8" s="39"/>
      <c r="LE8" s="39"/>
      <c r="LF8" s="39"/>
      <c r="LG8" s="39"/>
      <c r="LH8" s="39"/>
      <c r="LI8" s="41"/>
      <c r="LJ8" s="39"/>
      <c r="LK8" s="39"/>
      <c r="LL8" s="39"/>
      <c r="LM8" s="39"/>
      <c r="LN8" s="39"/>
      <c r="LO8" s="39"/>
      <c r="LP8" s="41"/>
      <c r="LQ8" s="39"/>
      <c r="LR8" s="39"/>
      <c r="LS8" s="39"/>
      <c r="LT8" s="39"/>
      <c r="LU8" s="39"/>
      <c r="LV8" s="39"/>
      <c r="LW8" s="41"/>
      <c r="LX8" s="39"/>
      <c r="LY8" s="39"/>
      <c r="LZ8" s="39"/>
      <c r="MA8" s="39"/>
      <c r="MB8" s="39"/>
      <c r="MC8" s="39"/>
      <c r="MD8" s="41"/>
      <c r="ME8" s="42"/>
      <c r="MF8" s="44"/>
      <c r="MG8" s="39"/>
      <c r="MH8" s="39"/>
      <c r="MI8" s="39"/>
      <c r="MJ8" s="39"/>
      <c r="MK8" s="41"/>
      <c r="ML8" s="39"/>
      <c r="MM8" s="39"/>
      <c r="MN8" s="39"/>
      <c r="MO8" s="39"/>
      <c r="MP8" s="39"/>
      <c r="MQ8" s="40"/>
      <c r="MR8" s="41"/>
      <c r="MS8" s="39"/>
      <c r="MT8" s="39"/>
      <c r="MU8" s="39"/>
      <c r="MV8" s="39"/>
      <c r="MW8" s="39"/>
      <c r="MX8" s="39"/>
      <c r="MY8" s="41"/>
      <c r="MZ8" s="39"/>
      <c r="NA8" s="39"/>
      <c r="NB8" s="39"/>
      <c r="NC8" s="39"/>
      <c r="ND8" s="40"/>
      <c r="NE8" s="40"/>
      <c r="NF8" s="41"/>
      <c r="NG8" s="39"/>
      <c r="NH8" s="39"/>
      <c r="NI8" s="39"/>
      <c r="NJ8" s="42"/>
    </row>
    <row r="9" spans="1:374">
      <c r="A9" s="145" t="s">
        <v>79</v>
      </c>
      <c r="B9" s="38" t="s">
        <v>80</v>
      </c>
      <c r="C9" s="38" t="s">
        <v>418</v>
      </c>
      <c r="D9" s="39">
        <v>5</v>
      </c>
      <c r="E9" s="39">
        <v>21</v>
      </c>
      <c r="F9" s="39">
        <f t="shared" si="0"/>
        <v>0</v>
      </c>
      <c r="G9" s="39">
        <f t="shared" si="1"/>
        <v>26</v>
      </c>
      <c r="H9" s="39">
        <f t="shared" si="2"/>
        <v>11</v>
      </c>
      <c r="I9" s="39">
        <f t="shared" si="3"/>
        <v>15</v>
      </c>
      <c r="J9" s="40"/>
      <c r="K9" s="39"/>
      <c r="L9" s="39"/>
      <c r="M9" s="41"/>
      <c r="N9" s="39"/>
      <c r="O9" s="39"/>
      <c r="P9" s="39"/>
      <c r="Q9" s="39"/>
      <c r="R9" s="39"/>
      <c r="S9" s="39"/>
      <c r="T9" s="41"/>
      <c r="U9" s="39"/>
      <c r="V9" s="39"/>
      <c r="W9" s="39"/>
      <c r="X9" s="39"/>
      <c r="Y9" s="39"/>
      <c r="Z9" s="39"/>
      <c r="AA9" s="41"/>
      <c r="AB9" s="39"/>
      <c r="AC9" s="39"/>
      <c r="AD9" s="39"/>
      <c r="AE9" s="39"/>
      <c r="AF9" s="39"/>
      <c r="AG9" s="39"/>
      <c r="AH9" s="41"/>
      <c r="AI9" s="39"/>
      <c r="AJ9" s="39"/>
      <c r="AK9" s="39"/>
      <c r="AL9" s="39"/>
      <c r="AM9" s="39"/>
      <c r="AN9" s="42"/>
      <c r="AO9" s="43"/>
      <c r="AP9" s="39"/>
      <c r="AQ9" s="39"/>
      <c r="AR9" s="39"/>
      <c r="AS9" s="39"/>
      <c r="AT9" s="39"/>
      <c r="AU9" s="39"/>
      <c r="AV9" s="41"/>
      <c r="AW9" s="39"/>
      <c r="AX9" s="39"/>
      <c r="AY9" s="39"/>
      <c r="AZ9" s="39"/>
      <c r="BA9" s="39"/>
      <c r="BB9" s="39"/>
      <c r="BC9" s="41"/>
      <c r="BD9" s="39"/>
      <c r="BE9" s="39"/>
      <c r="BF9" s="39"/>
      <c r="BG9" s="39"/>
      <c r="BH9" s="39"/>
      <c r="BI9" s="39"/>
      <c r="BJ9" s="41"/>
      <c r="BK9" s="39"/>
      <c r="BL9" s="39"/>
      <c r="BM9" s="39"/>
      <c r="BN9" s="39"/>
      <c r="BO9" s="39"/>
      <c r="BP9" s="42"/>
      <c r="BQ9" s="43"/>
      <c r="BR9" s="39">
        <v>1</v>
      </c>
      <c r="BS9" s="39">
        <v>1</v>
      </c>
      <c r="BT9" s="39">
        <v>1</v>
      </c>
      <c r="BU9" s="39">
        <v>1</v>
      </c>
      <c r="BV9" s="39">
        <v>1</v>
      </c>
      <c r="BW9" s="39"/>
      <c r="BX9" s="41"/>
      <c r="BY9" s="39">
        <v>1</v>
      </c>
      <c r="BZ9" s="39">
        <v>1</v>
      </c>
      <c r="CA9" s="39">
        <v>1</v>
      </c>
      <c r="CB9" s="39">
        <v>1</v>
      </c>
      <c r="CC9" s="39">
        <v>1</v>
      </c>
      <c r="CD9" s="39"/>
      <c r="CE9" s="41"/>
      <c r="CF9" s="39">
        <v>1</v>
      </c>
      <c r="CG9" s="39"/>
      <c r="CH9" s="39"/>
      <c r="CI9" s="39"/>
      <c r="CJ9" s="40"/>
      <c r="CK9" s="39"/>
      <c r="CL9" s="41"/>
      <c r="CM9" s="39"/>
      <c r="CN9" s="39"/>
      <c r="CO9" s="39"/>
      <c r="CP9" s="39"/>
      <c r="CQ9" s="39"/>
      <c r="CR9" s="39"/>
      <c r="CS9" s="41"/>
      <c r="CT9" s="39"/>
      <c r="CU9" s="42"/>
      <c r="CV9" s="44"/>
      <c r="CW9" s="39"/>
      <c r="CX9" s="40"/>
      <c r="CY9" s="39"/>
      <c r="CZ9" s="40"/>
      <c r="DA9" s="40"/>
      <c r="DB9" s="39"/>
      <c r="DC9" s="39"/>
      <c r="DD9" s="39"/>
      <c r="DE9" s="39"/>
      <c r="DF9" s="39"/>
      <c r="DG9" s="41"/>
      <c r="DH9" s="39"/>
      <c r="DI9" s="39"/>
      <c r="DJ9" s="39"/>
      <c r="DK9" s="39"/>
      <c r="DL9" s="39"/>
      <c r="DM9" s="39"/>
      <c r="DN9" s="41"/>
      <c r="DO9" s="39"/>
      <c r="DP9" s="39"/>
      <c r="DQ9" s="39"/>
      <c r="DR9" s="39"/>
      <c r="DS9" s="39"/>
      <c r="DT9" s="39"/>
      <c r="DU9" s="41"/>
      <c r="DV9" s="39"/>
      <c r="DW9" s="39"/>
      <c r="DX9" s="39"/>
      <c r="DY9" s="42"/>
      <c r="DZ9" s="45"/>
      <c r="EA9" s="39"/>
      <c r="EB9" s="41"/>
      <c r="EC9" s="39"/>
      <c r="ED9" s="39"/>
      <c r="EE9" s="39"/>
      <c r="EF9" s="39"/>
      <c r="EG9" s="39"/>
      <c r="EH9" s="39"/>
      <c r="EI9" s="41"/>
      <c r="EJ9" s="39"/>
      <c r="EK9" s="39"/>
      <c r="EL9" s="39"/>
      <c r="EM9" s="39"/>
      <c r="EN9" s="39"/>
      <c r="EO9" s="39"/>
      <c r="EP9" s="41"/>
      <c r="EQ9" s="39"/>
      <c r="ER9" s="39"/>
      <c r="ES9" s="39"/>
      <c r="ET9" s="39"/>
      <c r="EU9" s="39"/>
      <c r="EV9" s="39"/>
      <c r="EW9" s="41"/>
      <c r="EX9" s="39"/>
      <c r="EY9" s="39"/>
      <c r="EZ9" s="40"/>
      <c r="FA9" s="39"/>
      <c r="FB9" s="39"/>
      <c r="FC9" s="39"/>
      <c r="FD9" s="46"/>
      <c r="FE9" s="45"/>
      <c r="FF9" s="39"/>
      <c r="FG9" s="39"/>
      <c r="FH9" s="39"/>
      <c r="FI9" s="39"/>
      <c r="FJ9" s="39"/>
      <c r="FK9" s="41"/>
      <c r="FL9" s="39"/>
      <c r="FM9" s="39"/>
      <c r="FN9" s="39"/>
      <c r="FO9" s="39"/>
      <c r="FP9" s="39"/>
      <c r="FQ9" s="39"/>
      <c r="FR9" s="41"/>
      <c r="FS9" s="39"/>
      <c r="FT9" s="39"/>
      <c r="FU9" s="39"/>
      <c r="FV9" s="39"/>
      <c r="FW9" s="39"/>
      <c r="FX9" s="39"/>
      <c r="FY9" s="41"/>
      <c r="FZ9" s="39"/>
      <c r="GA9" s="39"/>
      <c r="GB9" s="39"/>
      <c r="GC9" s="39"/>
      <c r="GD9" s="39"/>
      <c r="GE9" s="39"/>
      <c r="GF9" s="41"/>
      <c r="GG9" s="39"/>
      <c r="GH9" s="42"/>
      <c r="GI9" s="44"/>
      <c r="GJ9" s="39"/>
      <c r="GK9" s="39"/>
      <c r="GL9" s="39"/>
      <c r="GM9" s="41"/>
      <c r="GN9" s="39"/>
      <c r="GO9" s="39"/>
      <c r="GP9" s="39"/>
      <c r="GQ9" s="39"/>
      <c r="GR9" s="39"/>
      <c r="GS9" s="39"/>
      <c r="GT9" s="41"/>
      <c r="GU9" s="39"/>
      <c r="GV9" s="39"/>
      <c r="GW9" s="39"/>
      <c r="GX9" s="39"/>
      <c r="GY9" s="39"/>
      <c r="GZ9" s="39"/>
      <c r="HA9" s="41"/>
      <c r="HB9" s="39"/>
      <c r="HC9" s="39"/>
      <c r="HD9" s="39"/>
      <c r="HE9" s="39"/>
      <c r="HF9" s="39"/>
      <c r="HG9" s="39"/>
      <c r="HH9" s="41"/>
      <c r="HI9" s="39"/>
      <c r="HJ9" s="39"/>
      <c r="HK9" s="39"/>
      <c r="HL9" s="39"/>
      <c r="HM9" s="42"/>
      <c r="HN9" s="44"/>
      <c r="HO9" s="41"/>
      <c r="HP9" s="39"/>
      <c r="HQ9" s="39"/>
      <c r="HR9" s="39"/>
      <c r="HS9" s="39"/>
      <c r="HT9" s="39"/>
      <c r="HU9" s="39"/>
      <c r="HV9" s="41"/>
      <c r="HW9" s="39"/>
      <c r="HX9" s="39"/>
      <c r="HY9" s="39"/>
      <c r="HZ9" s="39"/>
      <c r="IA9" s="39"/>
      <c r="IB9" s="39"/>
      <c r="IC9" s="41"/>
      <c r="ID9" s="39"/>
      <c r="IE9" s="39"/>
      <c r="IF9" s="39"/>
      <c r="IG9" s="39"/>
      <c r="IH9" s="39"/>
      <c r="II9" s="39"/>
      <c r="IJ9" s="41"/>
      <c r="IK9" s="39"/>
      <c r="IL9" s="39"/>
      <c r="IM9" s="39"/>
      <c r="IN9" s="39"/>
      <c r="IO9" s="39"/>
      <c r="IP9" s="39"/>
      <c r="IQ9" s="41"/>
      <c r="IR9" s="42"/>
      <c r="IS9" s="44"/>
      <c r="IT9" s="39"/>
      <c r="IU9" s="39"/>
      <c r="IV9" s="39"/>
      <c r="IW9" s="39"/>
      <c r="IX9" s="41"/>
      <c r="IY9" s="39"/>
      <c r="IZ9" s="39"/>
      <c r="JA9" s="39"/>
      <c r="JB9" s="39"/>
      <c r="JC9" s="39"/>
      <c r="JD9" s="39"/>
      <c r="JE9" s="41"/>
      <c r="JF9" s="39"/>
      <c r="JG9" s="39"/>
      <c r="JH9" s="39"/>
      <c r="JI9" s="39"/>
      <c r="JJ9" s="39"/>
      <c r="JK9" s="39"/>
      <c r="JL9" s="41"/>
      <c r="JM9" s="39"/>
      <c r="JN9" s="39"/>
      <c r="JO9" s="39"/>
      <c r="JP9" s="39"/>
      <c r="JQ9" s="39"/>
      <c r="JR9" s="39"/>
      <c r="JS9" s="41"/>
      <c r="JT9" s="39"/>
      <c r="JU9" s="39"/>
      <c r="JV9" s="42"/>
      <c r="JW9" s="44"/>
      <c r="JX9" s="39"/>
      <c r="JY9" s="39"/>
      <c r="JZ9" s="41"/>
      <c r="KA9" s="39"/>
      <c r="KB9" s="39"/>
      <c r="KC9" s="39"/>
      <c r="KD9" s="39"/>
      <c r="KE9" s="39"/>
      <c r="KF9" s="40"/>
      <c r="KG9" s="41"/>
      <c r="KH9" s="39"/>
      <c r="KI9" s="39"/>
      <c r="KJ9" s="39"/>
      <c r="KK9" s="39"/>
      <c r="KL9" s="39"/>
      <c r="KM9" s="39"/>
      <c r="KN9" s="41"/>
      <c r="KO9" s="39"/>
      <c r="KP9" s="40"/>
      <c r="KQ9" s="39"/>
      <c r="KR9" s="39"/>
      <c r="KS9" s="39"/>
      <c r="KT9" s="39"/>
      <c r="KU9" s="41"/>
      <c r="KV9" s="39"/>
      <c r="KW9" s="39"/>
      <c r="KX9" s="39"/>
      <c r="KY9" s="39"/>
      <c r="KZ9" s="39"/>
      <c r="LA9" s="42"/>
      <c r="LB9" s="43"/>
      <c r="LC9" s="39"/>
      <c r="LD9" s="39"/>
      <c r="LE9" s="39"/>
      <c r="LF9" s="39"/>
      <c r="LG9" s="39"/>
      <c r="LH9" s="39"/>
      <c r="LI9" s="41"/>
      <c r="LJ9" s="39"/>
      <c r="LK9" s="39"/>
      <c r="LL9" s="39"/>
      <c r="LM9" s="39"/>
      <c r="LN9" s="39"/>
      <c r="LO9" s="39"/>
      <c r="LP9" s="41"/>
      <c r="LQ9" s="39"/>
      <c r="LR9" s="39"/>
      <c r="LS9" s="39"/>
      <c r="LT9" s="39"/>
      <c r="LU9" s="39"/>
      <c r="LV9" s="39"/>
      <c r="LW9" s="41"/>
      <c r="LX9" s="39"/>
      <c r="LY9" s="39"/>
      <c r="LZ9" s="39"/>
      <c r="MA9" s="39"/>
      <c r="MB9" s="39"/>
      <c r="MC9" s="39"/>
      <c r="MD9" s="41"/>
      <c r="ME9" s="42"/>
      <c r="MF9" s="44"/>
      <c r="MG9" s="39"/>
      <c r="MH9" s="39"/>
      <c r="MI9" s="39"/>
      <c r="MJ9" s="39"/>
      <c r="MK9" s="41"/>
      <c r="ML9" s="39"/>
      <c r="MM9" s="39"/>
      <c r="MN9" s="39"/>
      <c r="MO9" s="39"/>
      <c r="MP9" s="39"/>
      <c r="MQ9" s="40"/>
      <c r="MR9" s="41"/>
      <c r="MS9" s="39"/>
      <c r="MT9" s="39"/>
      <c r="MU9" s="39"/>
      <c r="MV9" s="39"/>
      <c r="MW9" s="39"/>
      <c r="MX9" s="39"/>
      <c r="MY9" s="41"/>
      <c r="MZ9" s="39"/>
      <c r="NA9" s="39"/>
      <c r="NB9" s="39"/>
      <c r="NC9" s="39"/>
      <c r="ND9" s="40"/>
      <c r="NE9" s="40"/>
      <c r="NF9" s="41"/>
      <c r="NG9" s="39"/>
      <c r="NH9" s="39"/>
      <c r="NI9" s="39"/>
      <c r="NJ9" s="42"/>
    </row>
    <row r="10" spans="1:374">
      <c r="A10" s="145" t="s">
        <v>88</v>
      </c>
      <c r="B10" s="38" t="s">
        <v>89</v>
      </c>
      <c r="C10" s="38" t="s">
        <v>421</v>
      </c>
      <c r="D10" s="39"/>
      <c r="E10" s="39">
        <v>21</v>
      </c>
      <c r="F10" s="39">
        <f t="shared" si="0"/>
        <v>0</v>
      </c>
      <c r="G10" s="39">
        <f t="shared" si="1"/>
        <v>21</v>
      </c>
      <c r="H10" s="39">
        <f t="shared" si="2"/>
        <v>0</v>
      </c>
      <c r="I10" s="39">
        <f t="shared" si="3"/>
        <v>21</v>
      </c>
      <c r="J10" s="40"/>
      <c r="K10" s="39"/>
      <c r="L10" s="39"/>
      <c r="M10" s="41"/>
      <c r="N10" s="39"/>
      <c r="O10" s="39"/>
      <c r="P10" s="39"/>
      <c r="Q10" s="39"/>
      <c r="R10" s="39"/>
      <c r="S10" s="39"/>
      <c r="T10" s="41"/>
      <c r="U10" s="39"/>
      <c r="V10" s="39"/>
      <c r="W10" s="39"/>
      <c r="X10" s="39"/>
      <c r="Y10" s="39"/>
      <c r="Z10" s="39"/>
      <c r="AA10" s="41"/>
      <c r="AB10" s="39"/>
      <c r="AC10" s="39"/>
      <c r="AD10" s="39"/>
      <c r="AE10" s="39"/>
      <c r="AF10" s="39"/>
      <c r="AG10" s="39"/>
      <c r="AH10" s="41"/>
      <c r="AI10" s="39"/>
      <c r="AJ10" s="39"/>
      <c r="AK10" s="39"/>
      <c r="AL10" s="39"/>
      <c r="AM10" s="39"/>
      <c r="AN10" s="42"/>
      <c r="AO10" s="43"/>
      <c r="AP10" s="39"/>
      <c r="AQ10" s="39"/>
      <c r="AR10" s="39"/>
      <c r="AS10" s="39"/>
      <c r="AT10" s="39"/>
      <c r="AU10" s="39"/>
      <c r="AV10" s="41"/>
      <c r="AW10" s="39"/>
      <c r="AX10" s="39"/>
      <c r="AY10" s="39"/>
      <c r="AZ10" s="39"/>
      <c r="BA10" s="39"/>
      <c r="BB10" s="39"/>
      <c r="BC10" s="41"/>
      <c r="BD10" s="39"/>
      <c r="BE10" s="39"/>
      <c r="BF10" s="39"/>
      <c r="BG10" s="39"/>
      <c r="BH10" s="39"/>
      <c r="BI10" s="39"/>
      <c r="BJ10" s="41"/>
      <c r="BK10" s="39"/>
      <c r="BL10" s="39"/>
      <c r="BM10" s="39"/>
      <c r="BN10" s="39"/>
      <c r="BO10" s="39"/>
      <c r="BP10" s="42"/>
      <c r="BQ10" s="43"/>
      <c r="BR10" s="39"/>
      <c r="BS10" s="39"/>
      <c r="BT10" s="39"/>
      <c r="BU10" s="39"/>
      <c r="BV10" s="39"/>
      <c r="BW10" s="39"/>
      <c r="BX10" s="41"/>
      <c r="BY10" s="39"/>
      <c r="BZ10" s="39"/>
      <c r="CA10" s="39"/>
      <c r="CB10" s="39"/>
      <c r="CC10" s="39"/>
      <c r="CD10" s="39"/>
      <c r="CE10" s="41"/>
      <c r="CF10" s="39"/>
      <c r="CG10" s="39"/>
      <c r="CH10" s="39"/>
      <c r="CI10" s="39"/>
      <c r="CJ10" s="40"/>
      <c r="CK10" s="39"/>
      <c r="CL10" s="41"/>
      <c r="CM10" s="39"/>
      <c r="CN10" s="39"/>
      <c r="CO10" s="39"/>
      <c r="CP10" s="39"/>
      <c r="CQ10" s="39"/>
      <c r="CR10" s="39"/>
      <c r="CS10" s="41"/>
      <c r="CT10" s="39"/>
      <c r="CU10" s="42"/>
      <c r="CV10" s="44"/>
      <c r="CW10" s="39"/>
      <c r="CX10" s="40"/>
      <c r="CY10" s="39"/>
      <c r="CZ10" s="40"/>
      <c r="DA10" s="40"/>
      <c r="DB10" s="39"/>
      <c r="DC10" s="39"/>
      <c r="DD10" s="39"/>
      <c r="DE10" s="39"/>
      <c r="DF10" s="39"/>
      <c r="DG10" s="41"/>
      <c r="DH10" s="39"/>
      <c r="DI10" s="39"/>
      <c r="DJ10" s="39"/>
      <c r="DK10" s="39"/>
      <c r="DL10" s="39"/>
      <c r="DM10" s="39"/>
      <c r="DN10" s="41"/>
      <c r="DO10" s="39"/>
      <c r="DP10" s="39"/>
      <c r="DQ10" s="39"/>
      <c r="DR10" s="39"/>
      <c r="DS10" s="39"/>
      <c r="DT10" s="39"/>
      <c r="DU10" s="41"/>
      <c r="DV10" s="39"/>
      <c r="DW10" s="39"/>
      <c r="DX10" s="39"/>
      <c r="DY10" s="42"/>
      <c r="DZ10" s="45"/>
      <c r="EA10" s="39"/>
      <c r="EB10" s="41"/>
      <c r="EC10" s="39"/>
      <c r="ED10" s="39"/>
      <c r="EE10" s="39"/>
      <c r="EF10" s="39"/>
      <c r="EG10" s="39"/>
      <c r="EH10" s="39"/>
      <c r="EI10" s="41"/>
      <c r="EJ10" s="39"/>
      <c r="EK10" s="39"/>
      <c r="EL10" s="39"/>
      <c r="EM10" s="39"/>
      <c r="EN10" s="39"/>
      <c r="EO10" s="39"/>
      <c r="EP10" s="41"/>
      <c r="EQ10" s="39"/>
      <c r="ER10" s="39"/>
      <c r="ES10" s="39"/>
      <c r="ET10" s="39"/>
      <c r="EU10" s="39"/>
      <c r="EV10" s="39"/>
      <c r="EW10" s="41"/>
      <c r="EX10" s="39"/>
      <c r="EY10" s="39"/>
      <c r="EZ10" s="40"/>
      <c r="FA10" s="39"/>
      <c r="FB10" s="39"/>
      <c r="FC10" s="39"/>
      <c r="FD10" s="46"/>
      <c r="FE10" s="45"/>
      <c r="FF10" s="39"/>
      <c r="FG10" s="39"/>
      <c r="FH10" s="39"/>
      <c r="FI10" s="39"/>
      <c r="FJ10" s="39"/>
      <c r="FK10" s="41"/>
      <c r="FL10" s="39"/>
      <c r="FM10" s="39"/>
      <c r="FN10" s="39"/>
      <c r="FO10" s="39"/>
      <c r="FP10" s="39"/>
      <c r="FQ10" s="39"/>
      <c r="FR10" s="41"/>
      <c r="FS10" s="39"/>
      <c r="FT10" s="39"/>
      <c r="FU10" s="39"/>
      <c r="FV10" s="39"/>
      <c r="FW10" s="39"/>
      <c r="FX10" s="39"/>
      <c r="FY10" s="41"/>
      <c r="FZ10" s="39"/>
      <c r="GA10" s="39"/>
      <c r="GB10" s="39"/>
      <c r="GC10" s="39"/>
      <c r="GD10" s="39"/>
      <c r="GE10" s="39"/>
      <c r="GF10" s="41"/>
      <c r="GG10" s="39"/>
      <c r="GH10" s="42"/>
      <c r="GI10" s="44"/>
      <c r="GJ10" s="39"/>
      <c r="GK10" s="39"/>
      <c r="GL10" s="39"/>
      <c r="GM10" s="41"/>
      <c r="GN10" s="39"/>
      <c r="GO10" s="39"/>
      <c r="GP10" s="39"/>
      <c r="GQ10" s="39"/>
      <c r="GR10" s="39"/>
      <c r="GS10" s="39"/>
      <c r="GT10" s="41"/>
      <c r="GU10" s="39"/>
      <c r="GV10" s="39"/>
      <c r="GW10" s="39"/>
      <c r="GX10" s="39"/>
      <c r="GY10" s="39"/>
      <c r="GZ10" s="39"/>
      <c r="HA10" s="41"/>
      <c r="HB10" s="39"/>
      <c r="HC10" s="39"/>
      <c r="HD10" s="39"/>
      <c r="HE10" s="39"/>
      <c r="HF10" s="39"/>
      <c r="HG10" s="39"/>
      <c r="HH10" s="41"/>
      <c r="HI10" s="39"/>
      <c r="HJ10" s="39"/>
      <c r="HK10" s="39"/>
      <c r="HL10" s="39"/>
      <c r="HM10" s="42"/>
      <c r="HN10" s="44"/>
      <c r="HO10" s="41"/>
      <c r="HP10" s="39"/>
      <c r="HQ10" s="39"/>
      <c r="HR10" s="39"/>
      <c r="HS10" s="39"/>
      <c r="HT10" s="39"/>
      <c r="HU10" s="39"/>
      <c r="HV10" s="41"/>
      <c r="HW10" s="39"/>
      <c r="HX10" s="39"/>
      <c r="HY10" s="39"/>
      <c r="HZ10" s="39"/>
      <c r="IA10" s="39"/>
      <c r="IB10" s="39"/>
      <c r="IC10" s="41"/>
      <c r="ID10" s="39"/>
      <c r="IE10" s="39"/>
      <c r="IF10" s="39"/>
      <c r="IG10" s="39"/>
      <c r="IH10" s="39"/>
      <c r="II10" s="39"/>
      <c r="IJ10" s="41"/>
      <c r="IK10" s="39"/>
      <c r="IL10" s="39"/>
      <c r="IM10" s="39"/>
      <c r="IN10" s="39"/>
      <c r="IO10" s="39"/>
      <c r="IP10" s="39"/>
      <c r="IQ10" s="41"/>
      <c r="IR10" s="42"/>
      <c r="IS10" s="44"/>
      <c r="IT10" s="39"/>
      <c r="IU10" s="39"/>
      <c r="IV10" s="39"/>
      <c r="IW10" s="39"/>
      <c r="IX10" s="41"/>
      <c r="IY10" s="39"/>
      <c r="IZ10" s="39"/>
      <c r="JA10" s="39"/>
      <c r="JB10" s="39"/>
      <c r="JC10" s="39"/>
      <c r="JD10" s="39"/>
      <c r="JE10" s="41"/>
      <c r="JF10" s="39"/>
      <c r="JG10" s="39"/>
      <c r="JH10" s="39"/>
      <c r="JI10" s="39"/>
      <c r="JJ10" s="39"/>
      <c r="JK10" s="39"/>
      <c r="JL10" s="41"/>
      <c r="JM10" s="39"/>
      <c r="JN10" s="39"/>
      <c r="JO10" s="39"/>
      <c r="JP10" s="39"/>
      <c r="JQ10" s="39"/>
      <c r="JR10" s="39"/>
      <c r="JS10" s="41"/>
      <c r="JT10" s="39"/>
      <c r="JU10" s="39"/>
      <c r="JV10" s="42"/>
      <c r="JW10" s="44"/>
      <c r="JX10" s="39"/>
      <c r="JY10" s="39"/>
      <c r="JZ10" s="41"/>
      <c r="KA10" s="39"/>
      <c r="KB10" s="39"/>
      <c r="KC10" s="39"/>
      <c r="KD10" s="39"/>
      <c r="KE10" s="39"/>
      <c r="KF10" s="40"/>
      <c r="KG10" s="41"/>
      <c r="KH10" s="39"/>
      <c r="KI10" s="39"/>
      <c r="KJ10" s="39"/>
      <c r="KK10" s="39"/>
      <c r="KL10" s="39"/>
      <c r="KM10" s="39"/>
      <c r="KN10" s="41"/>
      <c r="KO10" s="39"/>
      <c r="KP10" s="40"/>
      <c r="KQ10" s="39"/>
      <c r="KR10" s="39"/>
      <c r="KS10" s="39"/>
      <c r="KT10" s="39"/>
      <c r="KU10" s="41"/>
      <c r="KV10" s="39"/>
      <c r="KW10" s="39"/>
      <c r="KX10" s="39"/>
      <c r="KY10" s="39"/>
      <c r="KZ10" s="39"/>
      <c r="LA10" s="42"/>
      <c r="LB10" s="43"/>
      <c r="LC10" s="39"/>
      <c r="LD10" s="39"/>
      <c r="LE10" s="39"/>
      <c r="LF10" s="39"/>
      <c r="LG10" s="39"/>
      <c r="LH10" s="39"/>
      <c r="LI10" s="41"/>
      <c r="LJ10" s="39"/>
      <c r="LK10" s="39"/>
      <c r="LL10" s="39"/>
      <c r="LM10" s="39"/>
      <c r="LN10" s="39"/>
      <c r="LO10" s="39"/>
      <c r="LP10" s="41"/>
      <c r="LQ10" s="39"/>
      <c r="LR10" s="39"/>
      <c r="LS10" s="39"/>
      <c r="LT10" s="39"/>
      <c r="LU10" s="39"/>
      <c r="LV10" s="39"/>
      <c r="LW10" s="41"/>
      <c r="LX10" s="39"/>
      <c r="LY10" s="39"/>
      <c r="LZ10" s="39"/>
      <c r="MA10" s="39"/>
      <c r="MB10" s="39"/>
      <c r="MC10" s="39"/>
      <c r="MD10" s="41"/>
      <c r="ME10" s="42"/>
      <c r="MF10" s="44"/>
      <c r="MG10" s="39"/>
      <c r="MH10" s="39"/>
      <c r="MI10" s="39"/>
      <c r="MJ10" s="39"/>
      <c r="MK10" s="41"/>
      <c r="ML10" s="39"/>
      <c r="MM10" s="39"/>
      <c r="MN10" s="39"/>
      <c r="MO10" s="39"/>
      <c r="MP10" s="39"/>
      <c r="MQ10" s="40"/>
      <c r="MR10" s="41"/>
      <c r="MS10" s="39"/>
      <c r="MT10" s="39"/>
      <c r="MU10" s="39"/>
      <c r="MV10" s="39"/>
      <c r="MW10" s="39"/>
      <c r="MX10" s="39"/>
      <c r="MY10" s="41"/>
      <c r="MZ10" s="39"/>
      <c r="NA10" s="39"/>
      <c r="NB10" s="39"/>
      <c r="NC10" s="39"/>
      <c r="ND10" s="40"/>
      <c r="NE10" s="40"/>
      <c r="NF10" s="41"/>
      <c r="NG10" s="39"/>
      <c r="NH10" s="39"/>
      <c r="NI10" s="39"/>
      <c r="NJ10" s="42"/>
    </row>
    <row r="11" spans="1:374">
      <c r="A11" s="145" t="s">
        <v>94</v>
      </c>
      <c r="B11" s="38" t="s">
        <v>95</v>
      </c>
      <c r="C11" s="38" t="s">
        <v>420</v>
      </c>
      <c r="D11" s="39">
        <v>5</v>
      </c>
      <c r="E11" s="39">
        <v>21</v>
      </c>
      <c r="F11" s="39">
        <f t="shared" si="0"/>
        <v>0</v>
      </c>
      <c r="G11" s="39">
        <f t="shared" si="1"/>
        <v>26</v>
      </c>
      <c r="H11" s="39">
        <f t="shared" si="2"/>
        <v>2</v>
      </c>
      <c r="I11" s="39">
        <f t="shared" si="3"/>
        <v>24</v>
      </c>
      <c r="J11" s="40"/>
      <c r="K11" s="39"/>
      <c r="L11" s="39"/>
      <c r="M11" s="41"/>
      <c r="N11" s="39"/>
      <c r="O11" s="39"/>
      <c r="P11" s="39"/>
      <c r="Q11" s="39"/>
      <c r="R11" s="39"/>
      <c r="S11" s="39"/>
      <c r="T11" s="41"/>
      <c r="U11" s="39"/>
      <c r="V11" s="39"/>
      <c r="W11" s="39"/>
      <c r="X11" s="39"/>
      <c r="Y11" s="39"/>
      <c r="Z11" s="39"/>
      <c r="AA11" s="41"/>
      <c r="AB11" s="39"/>
      <c r="AC11" s="39"/>
      <c r="AD11" s="39"/>
      <c r="AE11" s="39"/>
      <c r="AF11" s="39"/>
      <c r="AG11" s="39"/>
      <c r="AH11" s="41"/>
      <c r="AI11" s="39"/>
      <c r="AJ11" s="39"/>
      <c r="AK11" s="39"/>
      <c r="AL11" s="39"/>
      <c r="AM11" s="39"/>
      <c r="AN11" s="42"/>
      <c r="AO11" s="43"/>
      <c r="AP11" s="39"/>
      <c r="AQ11" s="39"/>
      <c r="AR11" s="39"/>
      <c r="AS11" s="39"/>
      <c r="AT11" s="39"/>
      <c r="AU11" s="39"/>
      <c r="AV11" s="41"/>
      <c r="AW11" s="39"/>
      <c r="AX11" s="39"/>
      <c r="AY11" s="39"/>
      <c r="AZ11" s="39"/>
      <c r="BA11" s="39"/>
      <c r="BB11" s="39"/>
      <c r="BC11" s="41"/>
      <c r="BD11" s="39"/>
      <c r="BE11" s="39"/>
      <c r="BF11" s="39"/>
      <c r="BG11" s="39"/>
      <c r="BH11" s="39"/>
      <c r="BI11" s="39"/>
      <c r="BJ11" s="41"/>
      <c r="BK11" s="39"/>
      <c r="BL11" s="39"/>
      <c r="BM11" s="39"/>
      <c r="BN11" s="39"/>
      <c r="BO11" s="39"/>
      <c r="BP11" s="42"/>
      <c r="BQ11" s="43"/>
      <c r="BR11" s="39"/>
      <c r="BS11" s="39"/>
      <c r="BT11" s="39"/>
      <c r="BU11" s="39"/>
      <c r="BV11" s="39"/>
      <c r="BW11" s="39"/>
      <c r="BX11" s="41"/>
      <c r="BY11" s="39"/>
      <c r="BZ11" s="39"/>
      <c r="CA11" s="39"/>
      <c r="CB11" s="39"/>
      <c r="CC11" s="39"/>
      <c r="CD11" s="39"/>
      <c r="CE11" s="41"/>
      <c r="CF11" s="39"/>
      <c r="CG11" s="39"/>
      <c r="CH11" s="39"/>
      <c r="CI11" s="39"/>
      <c r="CJ11" s="40"/>
      <c r="CK11" s="39"/>
      <c r="CL11" s="41"/>
      <c r="CM11" s="39"/>
      <c r="CN11" s="39"/>
      <c r="CO11" s="39"/>
      <c r="CP11" s="39"/>
      <c r="CQ11" s="39"/>
      <c r="CR11" s="39"/>
      <c r="CS11" s="41"/>
      <c r="CT11" s="39"/>
      <c r="CU11" s="42"/>
      <c r="CV11" s="44"/>
      <c r="CW11" s="39"/>
      <c r="CX11" s="40"/>
      <c r="CY11" s="39"/>
      <c r="CZ11" s="40"/>
      <c r="DA11" s="40"/>
      <c r="DB11" s="39">
        <v>1</v>
      </c>
      <c r="DC11" s="39">
        <v>1</v>
      </c>
      <c r="DD11" s="39"/>
      <c r="DE11" s="39"/>
      <c r="DF11" s="39"/>
      <c r="DG11" s="41"/>
      <c r="DH11" s="39"/>
      <c r="DI11" s="39"/>
      <c r="DJ11" s="39"/>
      <c r="DK11" s="39"/>
      <c r="DL11" s="39"/>
      <c r="DM11" s="39"/>
      <c r="DN11" s="41"/>
      <c r="DO11" s="39"/>
      <c r="DP11" s="39"/>
      <c r="DQ11" s="39"/>
      <c r="DR11" s="39"/>
      <c r="DS11" s="39"/>
      <c r="DT11" s="39"/>
      <c r="DU11" s="41"/>
      <c r="DV11" s="39"/>
      <c r="DW11" s="39"/>
      <c r="DX11" s="39"/>
      <c r="DY11" s="42"/>
      <c r="DZ11" s="45"/>
      <c r="EA11" s="39"/>
      <c r="EB11" s="41"/>
      <c r="EC11" s="39"/>
      <c r="ED11" s="39"/>
      <c r="EE11" s="39"/>
      <c r="EF11" s="39"/>
      <c r="EG11" s="39"/>
      <c r="EH11" s="39"/>
      <c r="EI11" s="41"/>
      <c r="EJ11" s="39"/>
      <c r="EK11" s="39"/>
      <c r="EL11" s="39"/>
      <c r="EM11" s="39"/>
      <c r="EN11" s="39"/>
      <c r="EO11" s="39"/>
      <c r="EP11" s="41"/>
      <c r="EQ11" s="39"/>
      <c r="ER11" s="39"/>
      <c r="ES11" s="39"/>
      <c r="ET11" s="39"/>
      <c r="EU11" s="39"/>
      <c r="EV11" s="39"/>
      <c r="EW11" s="41"/>
      <c r="EX11" s="39"/>
      <c r="EY11" s="39"/>
      <c r="EZ11" s="40"/>
      <c r="FA11" s="39"/>
      <c r="FB11" s="39"/>
      <c r="FC11" s="39"/>
      <c r="FD11" s="46"/>
      <c r="FE11" s="45"/>
      <c r="FF11" s="39"/>
      <c r="FG11" s="39"/>
      <c r="FH11" s="39"/>
      <c r="FI11" s="39"/>
      <c r="FJ11" s="39"/>
      <c r="FK11" s="41"/>
      <c r="FL11" s="39"/>
      <c r="FM11" s="39"/>
      <c r="FN11" s="39"/>
      <c r="FO11" s="39"/>
      <c r="FP11" s="39"/>
      <c r="FQ11" s="39"/>
      <c r="FR11" s="41"/>
      <c r="FS11" s="39"/>
      <c r="FT11" s="39"/>
      <c r="FU11" s="39"/>
      <c r="FV11" s="39"/>
      <c r="FW11" s="39"/>
      <c r="FX11" s="39"/>
      <c r="FY11" s="41"/>
      <c r="FZ11" s="39"/>
      <c r="GA11" s="39"/>
      <c r="GB11" s="39"/>
      <c r="GC11" s="39"/>
      <c r="GD11" s="39"/>
      <c r="GE11" s="39"/>
      <c r="GF11" s="41"/>
      <c r="GG11" s="39"/>
      <c r="GH11" s="42"/>
      <c r="GI11" s="44"/>
      <c r="GJ11" s="39"/>
      <c r="GK11" s="39"/>
      <c r="GL11" s="39"/>
      <c r="GM11" s="41"/>
      <c r="GN11" s="39"/>
      <c r="GO11" s="39"/>
      <c r="GP11" s="39"/>
      <c r="GQ11" s="39"/>
      <c r="GR11" s="39"/>
      <c r="GS11" s="39"/>
      <c r="GT11" s="41"/>
      <c r="GU11" s="39"/>
      <c r="GV11" s="39"/>
      <c r="GW11" s="39"/>
      <c r="GX11" s="39"/>
      <c r="GY11" s="39"/>
      <c r="GZ11" s="39"/>
      <c r="HA11" s="41"/>
      <c r="HB11" s="39"/>
      <c r="HC11" s="39"/>
      <c r="HD11" s="39"/>
      <c r="HE11" s="39"/>
      <c r="HF11" s="39"/>
      <c r="HG11" s="39"/>
      <c r="HH11" s="41"/>
      <c r="HI11" s="39"/>
      <c r="HJ11" s="39"/>
      <c r="HK11" s="39"/>
      <c r="HL11" s="39"/>
      <c r="HM11" s="42"/>
      <c r="HN11" s="44"/>
      <c r="HO11" s="41"/>
      <c r="HP11" s="39"/>
      <c r="HQ11" s="39"/>
      <c r="HR11" s="39"/>
      <c r="HS11" s="39"/>
      <c r="HT11" s="39"/>
      <c r="HU11" s="39"/>
      <c r="HV11" s="41"/>
      <c r="HW11" s="39"/>
      <c r="HX11" s="39"/>
      <c r="HY11" s="39"/>
      <c r="HZ11" s="39"/>
      <c r="IA11" s="39"/>
      <c r="IB11" s="39"/>
      <c r="IC11" s="41"/>
      <c r="ID11" s="39"/>
      <c r="IE11" s="39"/>
      <c r="IF11" s="39"/>
      <c r="IG11" s="39"/>
      <c r="IH11" s="39"/>
      <c r="II11" s="39"/>
      <c r="IJ11" s="41"/>
      <c r="IK11" s="39"/>
      <c r="IL11" s="39"/>
      <c r="IM11" s="39"/>
      <c r="IN11" s="39"/>
      <c r="IO11" s="39"/>
      <c r="IP11" s="39"/>
      <c r="IQ11" s="41"/>
      <c r="IR11" s="42"/>
      <c r="IS11" s="44"/>
      <c r="IT11" s="39"/>
      <c r="IU11" s="39"/>
      <c r="IV11" s="39"/>
      <c r="IW11" s="39"/>
      <c r="IX11" s="41"/>
      <c r="IY11" s="39"/>
      <c r="IZ11" s="39"/>
      <c r="JA11" s="39"/>
      <c r="JB11" s="39"/>
      <c r="JC11" s="39"/>
      <c r="JD11" s="39"/>
      <c r="JE11" s="41"/>
      <c r="JF11" s="39"/>
      <c r="JG11" s="39"/>
      <c r="JH11" s="39"/>
      <c r="JI11" s="39"/>
      <c r="JJ11" s="39"/>
      <c r="JK11" s="39"/>
      <c r="JL11" s="41"/>
      <c r="JM11" s="39"/>
      <c r="JN11" s="39"/>
      <c r="JO11" s="39"/>
      <c r="JP11" s="39"/>
      <c r="JQ11" s="39"/>
      <c r="JR11" s="39"/>
      <c r="JS11" s="41"/>
      <c r="JT11" s="39"/>
      <c r="JU11" s="39"/>
      <c r="JV11" s="42"/>
      <c r="JW11" s="44"/>
      <c r="JX11" s="39"/>
      <c r="JY11" s="39"/>
      <c r="JZ11" s="41"/>
      <c r="KA11" s="39"/>
      <c r="KB11" s="39"/>
      <c r="KC11" s="39"/>
      <c r="KD11" s="39"/>
      <c r="KE11" s="39"/>
      <c r="KF11" s="40"/>
      <c r="KG11" s="41"/>
      <c r="KH11" s="39"/>
      <c r="KI11" s="39"/>
      <c r="KJ11" s="39"/>
      <c r="KK11" s="39"/>
      <c r="KL11" s="39"/>
      <c r="KM11" s="39"/>
      <c r="KN11" s="41"/>
      <c r="KO11" s="39"/>
      <c r="KP11" s="40"/>
      <c r="KQ11" s="39"/>
      <c r="KR11" s="39"/>
      <c r="KS11" s="39"/>
      <c r="KT11" s="39"/>
      <c r="KU11" s="41"/>
      <c r="KV11" s="39"/>
      <c r="KW11" s="39"/>
      <c r="KX11" s="39"/>
      <c r="KY11" s="39"/>
      <c r="KZ11" s="39"/>
      <c r="LA11" s="42"/>
      <c r="LB11" s="43"/>
      <c r="LC11" s="39"/>
      <c r="LD11" s="39"/>
      <c r="LE11" s="39"/>
      <c r="LF11" s="39"/>
      <c r="LG11" s="39"/>
      <c r="LH11" s="39"/>
      <c r="LI11" s="41"/>
      <c r="LJ11" s="39"/>
      <c r="LK11" s="39"/>
      <c r="LL11" s="39"/>
      <c r="LM11" s="39"/>
      <c r="LN11" s="39"/>
      <c r="LO11" s="39"/>
      <c r="LP11" s="41"/>
      <c r="LQ11" s="39"/>
      <c r="LR11" s="39"/>
      <c r="LS11" s="39"/>
      <c r="LT11" s="39"/>
      <c r="LU11" s="39"/>
      <c r="LV11" s="39"/>
      <c r="LW11" s="41"/>
      <c r="LX11" s="39"/>
      <c r="LY11" s="39"/>
      <c r="LZ11" s="39"/>
      <c r="MA11" s="39"/>
      <c r="MB11" s="39"/>
      <c r="MC11" s="39"/>
      <c r="MD11" s="41"/>
      <c r="ME11" s="42"/>
      <c r="MF11" s="44"/>
      <c r="MG11" s="39"/>
      <c r="MH11" s="39"/>
      <c r="MI11" s="39"/>
      <c r="MJ11" s="39"/>
      <c r="MK11" s="41"/>
      <c r="ML11" s="39"/>
      <c r="MM11" s="39"/>
      <c r="MN11" s="39"/>
      <c r="MO11" s="39"/>
      <c r="MP11" s="39"/>
      <c r="MQ11" s="40"/>
      <c r="MR11" s="41"/>
      <c r="MS11" s="39"/>
      <c r="MT11" s="39"/>
      <c r="MU11" s="39"/>
      <c r="MV11" s="39"/>
      <c r="MW11" s="39"/>
      <c r="MX11" s="39"/>
      <c r="MY11" s="41"/>
      <c r="MZ11" s="39"/>
      <c r="NA11" s="39"/>
      <c r="NB11" s="39"/>
      <c r="NC11" s="39"/>
      <c r="ND11" s="40"/>
      <c r="NE11" s="40"/>
      <c r="NF11" s="41"/>
      <c r="NG11" s="39"/>
      <c r="NH11" s="39"/>
      <c r="NI11" s="39"/>
      <c r="NJ11" s="42"/>
    </row>
    <row r="12" spans="1:374">
      <c r="A12" s="146" t="s">
        <v>82</v>
      </c>
      <c r="B12" s="48" t="s">
        <v>83</v>
      </c>
      <c r="C12" s="48" t="s">
        <v>422</v>
      </c>
      <c r="D12" s="39"/>
      <c r="E12" s="39">
        <v>21</v>
      </c>
      <c r="F12" s="39">
        <f t="shared" si="0"/>
        <v>0</v>
      </c>
      <c r="G12" s="39">
        <f t="shared" si="1"/>
        <v>21</v>
      </c>
      <c r="H12" s="39">
        <f t="shared" si="2"/>
        <v>0</v>
      </c>
      <c r="I12" s="39">
        <f t="shared" si="3"/>
        <v>21</v>
      </c>
      <c r="J12" s="40"/>
      <c r="K12" s="39"/>
      <c r="L12" s="39"/>
      <c r="M12" s="41"/>
      <c r="N12" s="39"/>
      <c r="O12" s="39"/>
      <c r="P12" s="39"/>
      <c r="Q12" s="39"/>
      <c r="R12" s="39"/>
      <c r="S12" s="39"/>
      <c r="T12" s="41"/>
      <c r="U12" s="39"/>
      <c r="V12" s="39"/>
      <c r="W12" s="39"/>
      <c r="X12" s="39"/>
      <c r="Y12" s="39"/>
      <c r="Z12" s="39"/>
      <c r="AA12" s="41"/>
      <c r="AB12" s="39"/>
      <c r="AC12" s="39"/>
      <c r="AD12" s="39"/>
      <c r="AE12" s="39"/>
      <c r="AF12" s="39"/>
      <c r="AG12" s="39"/>
      <c r="AH12" s="41"/>
      <c r="AI12" s="39"/>
      <c r="AJ12" s="39"/>
      <c r="AK12" s="39"/>
      <c r="AL12" s="39"/>
      <c r="AM12" s="39"/>
      <c r="AN12" s="42"/>
      <c r="AO12" s="43"/>
      <c r="AP12" s="39"/>
      <c r="AQ12" s="39"/>
      <c r="AR12" s="39"/>
      <c r="AS12" s="39"/>
      <c r="AT12" s="39"/>
      <c r="AU12" s="39"/>
      <c r="AV12" s="41"/>
      <c r="AW12" s="39"/>
      <c r="AX12" s="39"/>
      <c r="AY12" s="39"/>
      <c r="AZ12" s="39"/>
      <c r="BA12" s="39"/>
      <c r="BB12" s="39"/>
      <c r="BC12" s="41"/>
      <c r="BD12" s="39"/>
      <c r="BE12" s="39"/>
      <c r="BF12" s="39"/>
      <c r="BG12" s="39"/>
      <c r="BH12" s="39"/>
      <c r="BI12" s="39"/>
      <c r="BJ12" s="41"/>
      <c r="BK12" s="39"/>
      <c r="BL12" s="39"/>
      <c r="BM12" s="39"/>
      <c r="BN12" s="39"/>
      <c r="BO12" s="39"/>
      <c r="BP12" s="42"/>
      <c r="BQ12" s="43"/>
      <c r="BR12" s="39"/>
      <c r="BS12" s="39"/>
      <c r="BT12" s="39"/>
      <c r="BU12" s="39"/>
      <c r="BV12" s="39"/>
      <c r="BW12" s="39"/>
      <c r="BX12" s="41"/>
      <c r="BY12" s="39"/>
      <c r="BZ12" s="39"/>
      <c r="CA12" s="39"/>
      <c r="CB12" s="39"/>
      <c r="CC12" s="39"/>
      <c r="CD12" s="39"/>
      <c r="CE12" s="41"/>
      <c r="CF12" s="39"/>
      <c r="CG12" s="39"/>
      <c r="CH12" s="39"/>
      <c r="CI12" s="39"/>
      <c r="CJ12" s="40"/>
      <c r="CK12" s="39"/>
      <c r="CL12" s="41"/>
      <c r="CM12" s="39"/>
      <c r="CN12" s="39"/>
      <c r="CO12" s="39"/>
      <c r="CP12" s="39"/>
      <c r="CQ12" s="39"/>
      <c r="CR12" s="39"/>
      <c r="CS12" s="41"/>
      <c r="CT12" s="39"/>
      <c r="CU12" s="42"/>
      <c r="CV12" s="44"/>
      <c r="CW12" s="39"/>
      <c r="CX12" s="40"/>
      <c r="CY12" s="39"/>
      <c r="CZ12" s="40"/>
      <c r="DA12" s="40"/>
      <c r="DB12" s="39"/>
      <c r="DC12" s="39"/>
      <c r="DD12" s="39"/>
      <c r="DE12" s="39"/>
      <c r="DF12" s="39"/>
      <c r="DG12" s="41"/>
      <c r="DH12" s="39"/>
      <c r="DI12" s="39"/>
      <c r="DJ12" s="39"/>
      <c r="DK12" s="39"/>
      <c r="DL12" s="39"/>
      <c r="DM12" s="39"/>
      <c r="DN12" s="41"/>
      <c r="DO12" s="39"/>
      <c r="DP12" s="39"/>
      <c r="DQ12" s="39"/>
      <c r="DR12" s="39"/>
      <c r="DS12" s="39"/>
      <c r="DT12" s="39"/>
      <c r="DU12" s="41"/>
      <c r="DV12" s="39"/>
      <c r="DW12" s="39"/>
      <c r="DX12" s="39"/>
      <c r="DY12" s="42"/>
      <c r="DZ12" s="45"/>
      <c r="EA12" s="39"/>
      <c r="EB12" s="41"/>
      <c r="EC12" s="39"/>
      <c r="ED12" s="39"/>
      <c r="EE12" s="39"/>
      <c r="EF12" s="39"/>
      <c r="EG12" s="39"/>
      <c r="EH12" s="39"/>
      <c r="EI12" s="41"/>
      <c r="EJ12" s="39"/>
      <c r="EK12" s="39"/>
      <c r="EL12" s="39"/>
      <c r="EM12" s="39"/>
      <c r="EN12" s="39"/>
      <c r="EO12" s="39"/>
      <c r="EP12" s="41"/>
      <c r="EQ12" s="39"/>
      <c r="ER12" s="39"/>
      <c r="ES12" s="39"/>
      <c r="ET12" s="39"/>
      <c r="EU12" s="39"/>
      <c r="EV12" s="39"/>
      <c r="EW12" s="41"/>
      <c r="EX12" s="39"/>
      <c r="EY12" s="39"/>
      <c r="EZ12" s="40"/>
      <c r="FA12" s="39"/>
      <c r="FB12" s="39"/>
      <c r="FC12" s="39"/>
      <c r="FD12" s="46"/>
      <c r="FE12" s="45"/>
      <c r="FF12" s="39"/>
      <c r="FG12" s="39"/>
      <c r="FH12" s="39"/>
      <c r="FI12" s="39"/>
      <c r="FJ12" s="39"/>
      <c r="FK12" s="41"/>
      <c r="FL12" s="39"/>
      <c r="FM12" s="39"/>
      <c r="FN12" s="39"/>
      <c r="FO12" s="39"/>
      <c r="FP12" s="39"/>
      <c r="FQ12" s="39"/>
      <c r="FR12" s="41"/>
      <c r="FS12" s="39"/>
      <c r="FT12" s="39"/>
      <c r="FU12" s="39"/>
      <c r="FV12" s="39"/>
      <c r="FW12" s="39"/>
      <c r="FX12" s="39"/>
      <c r="FY12" s="41"/>
      <c r="FZ12" s="39"/>
      <c r="GA12" s="39"/>
      <c r="GB12" s="39"/>
      <c r="GC12" s="39"/>
      <c r="GD12" s="39"/>
      <c r="GE12" s="39"/>
      <c r="GF12" s="41"/>
      <c r="GG12" s="39"/>
      <c r="GH12" s="42"/>
      <c r="GI12" s="44"/>
      <c r="GJ12" s="39"/>
      <c r="GK12" s="39"/>
      <c r="GL12" s="39"/>
      <c r="GM12" s="41"/>
      <c r="GN12" s="39"/>
      <c r="GO12" s="39"/>
      <c r="GP12" s="39"/>
      <c r="GQ12" s="39"/>
      <c r="GR12" s="39"/>
      <c r="GS12" s="39"/>
      <c r="GT12" s="41"/>
      <c r="GU12" s="39"/>
      <c r="GV12" s="39"/>
      <c r="GW12" s="39"/>
      <c r="GX12" s="39"/>
      <c r="GY12" s="39"/>
      <c r="GZ12" s="39"/>
      <c r="HA12" s="41"/>
      <c r="HB12" s="39"/>
      <c r="HC12" s="39"/>
      <c r="HD12" s="39"/>
      <c r="HE12" s="39"/>
      <c r="HF12" s="39"/>
      <c r="HG12" s="39"/>
      <c r="HH12" s="41"/>
      <c r="HI12" s="39"/>
      <c r="HJ12" s="39"/>
      <c r="HK12" s="39"/>
      <c r="HL12" s="39"/>
      <c r="HM12" s="42"/>
      <c r="HN12" s="44"/>
      <c r="HO12" s="41"/>
      <c r="HP12" s="39"/>
      <c r="HQ12" s="39"/>
      <c r="HR12" s="39"/>
      <c r="HS12" s="39"/>
      <c r="HT12" s="39"/>
      <c r="HU12" s="39"/>
      <c r="HV12" s="41"/>
      <c r="HW12" s="39"/>
      <c r="HX12" s="39"/>
      <c r="HY12" s="39"/>
      <c r="HZ12" s="39"/>
      <c r="IA12" s="39"/>
      <c r="IB12" s="39"/>
      <c r="IC12" s="41"/>
      <c r="ID12" s="39"/>
      <c r="IE12" s="39"/>
      <c r="IF12" s="39"/>
      <c r="IG12" s="39"/>
      <c r="IH12" s="39"/>
      <c r="II12" s="39"/>
      <c r="IJ12" s="41"/>
      <c r="IK12" s="39"/>
      <c r="IL12" s="39"/>
      <c r="IM12" s="39"/>
      <c r="IN12" s="39"/>
      <c r="IO12" s="39"/>
      <c r="IP12" s="39"/>
      <c r="IQ12" s="41"/>
      <c r="IR12" s="42"/>
      <c r="IS12" s="44"/>
      <c r="IT12" s="39"/>
      <c r="IU12" s="39"/>
      <c r="IV12" s="39"/>
      <c r="IW12" s="39"/>
      <c r="IX12" s="41"/>
      <c r="IY12" s="39"/>
      <c r="IZ12" s="39"/>
      <c r="JA12" s="39"/>
      <c r="JB12" s="39"/>
      <c r="JC12" s="39"/>
      <c r="JD12" s="39"/>
      <c r="JE12" s="41"/>
      <c r="JF12" s="39"/>
      <c r="JG12" s="39"/>
      <c r="JH12" s="39"/>
      <c r="JI12" s="39"/>
      <c r="JJ12" s="39"/>
      <c r="JK12" s="39"/>
      <c r="JL12" s="41"/>
      <c r="JM12" s="39"/>
      <c r="JN12" s="39"/>
      <c r="JO12" s="39"/>
      <c r="JP12" s="39"/>
      <c r="JQ12" s="39"/>
      <c r="JR12" s="39"/>
      <c r="JS12" s="41"/>
      <c r="JT12" s="39"/>
      <c r="JU12" s="39"/>
      <c r="JV12" s="42"/>
      <c r="JW12" s="44"/>
      <c r="JX12" s="39"/>
      <c r="JY12" s="39"/>
      <c r="JZ12" s="41"/>
      <c r="KA12" s="39"/>
      <c r="KB12" s="39"/>
      <c r="KC12" s="39"/>
      <c r="KD12" s="39"/>
      <c r="KE12" s="39"/>
      <c r="KF12" s="40"/>
      <c r="KG12" s="41"/>
      <c r="KH12" s="39"/>
      <c r="KI12" s="39"/>
      <c r="KJ12" s="39"/>
      <c r="KK12" s="39"/>
      <c r="KL12" s="39"/>
      <c r="KM12" s="39"/>
      <c r="KN12" s="41"/>
      <c r="KO12" s="39"/>
      <c r="KP12" s="40"/>
      <c r="KQ12" s="39"/>
      <c r="KR12" s="39"/>
      <c r="KS12" s="39"/>
      <c r="KT12" s="39"/>
      <c r="KU12" s="41"/>
      <c r="KV12" s="39"/>
      <c r="KW12" s="39"/>
      <c r="KX12" s="39"/>
      <c r="KY12" s="39"/>
      <c r="KZ12" s="39"/>
      <c r="LA12" s="42"/>
      <c r="LB12" s="43"/>
      <c r="LC12" s="39"/>
      <c r="LD12" s="39"/>
      <c r="LE12" s="39"/>
      <c r="LF12" s="39"/>
      <c r="LG12" s="39"/>
      <c r="LH12" s="39"/>
      <c r="LI12" s="41"/>
      <c r="LJ12" s="39"/>
      <c r="LK12" s="39"/>
      <c r="LL12" s="39"/>
      <c r="LM12" s="39"/>
      <c r="LN12" s="39"/>
      <c r="LO12" s="39"/>
      <c r="LP12" s="41"/>
      <c r="LQ12" s="39"/>
      <c r="LR12" s="39"/>
      <c r="LS12" s="39"/>
      <c r="LT12" s="39"/>
      <c r="LU12" s="39"/>
      <c r="LV12" s="39"/>
      <c r="LW12" s="41"/>
      <c r="LX12" s="39"/>
      <c r="LY12" s="39"/>
      <c r="LZ12" s="39"/>
      <c r="MA12" s="39"/>
      <c r="MB12" s="39"/>
      <c r="MC12" s="39"/>
      <c r="MD12" s="41"/>
      <c r="ME12" s="42"/>
      <c r="MF12" s="44"/>
      <c r="MG12" s="39"/>
      <c r="MH12" s="39"/>
      <c r="MI12" s="39"/>
      <c r="MJ12" s="39"/>
      <c r="MK12" s="41"/>
      <c r="ML12" s="39"/>
      <c r="MM12" s="39"/>
      <c r="MN12" s="39"/>
      <c r="MO12" s="39"/>
      <c r="MP12" s="39"/>
      <c r="MQ12" s="40"/>
      <c r="MR12" s="41"/>
      <c r="MS12" s="39"/>
      <c r="MT12" s="39"/>
      <c r="MU12" s="39"/>
      <c r="MV12" s="39"/>
      <c r="MW12" s="39"/>
      <c r="MX12" s="39"/>
      <c r="MY12" s="41"/>
      <c r="MZ12" s="39"/>
      <c r="NA12" s="39"/>
      <c r="NB12" s="39"/>
      <c r="NC12" s="39"/>
      <c r="ND12" s="40"/>
      <c r="NE12" s="40"/>
      <c r="NF12" s="41"/>
      <c r="NG12" s="39"/>
      <c r="NH12" s="39"/>
      <c r="NI12" s="39"/>
      <c r="NJ12" s="42"/>
    </row>
    <row r="13" spans="1:374">
      <c r="A13" s="145" t="s">
        <v>101</v>
      </c>
      <c r="B13" s="49" t="s">
        <v>30</v>
      </c>
      <c r="C13" s="49" t="s">
        <v>418</v>
      </c>
      <c r="D13" s="39">
        <v>5</v>
      </c>
      <c r="E13" s="39">
        <v>21</v>
      </c>
      <c r="F13" s="39">
        <f t="shared" si="0"/>
        <v>0</v>
      </c>
      <c r="G13" s="39">
        <f t="shared" si="1"/>
        <v>26</v>
      </c>
      <c r="H13" s="39">
        <f t="shared" si="2"/>
        <v>0</v>
      </c>
      <c r="I13" s="39">
        <f t="shared" si="3"/>
        <v>26</v>
      </c>
      <c r="J13" s="40"/>
      <c r="K13" s="39"/>
      <c r="L13" s="39"/>
      <c r="M13" s="41"/>
      <c r="N13" s="39"/>
      <c r="O13" s="39"/>
      <c r="P13" s="39"/>
      <c r="Q13" s="39"/>
      <c r="R13" s="39"/>
      <c r="S13" s="39"/>
      <c r="T13" s="41"/>
      <c r="U13" s="39"/>
      <c r="V13" s="39"/>
      <c r="W13" s="39"/>
      <c r="X13" s="39"/>
      <c r="Y13" s="39"/>
      <c r="Z13" s="39"/>
      <c r="AA13" s="41"/>
      <c r="AB13" s="39"/>
      <c r="AC13" s="39"/>
      <c r="AD13" s="39"/>
      <c r="AE13" s="39"/>
      <c r="AF13" s="39"/>
      <c r="AG13" s="39"/>
      <c r="AH13" s="41"/>
      <c r="AI13" s="39"/>
      <c r="AJ13" s="39"/>
      <c r="AK13" s="39"/>
      <c r="AL13" s="39"/>
      <c r="AM13" s="39"/>
      <c r="AN13" s="42"/>
      <c r="AO13" s="43"/>
      <c r="AP13" s="39"/>
      <c r="AQ13" s="39"/>
      <c r="AR13" s="39"/>
      <c r="AS13" s="39"/>
      <c r="AT13" s="39"/>
      <c r="AU13" s="39"/>
      <c r="AV13" s="41"/>
      <c r="AW13" s="39"/>
      <c r="AX13" s="39"/>
      <c r="AY13" s="39"/>
      <c r="AZ13" s="39"/>
      <c r="BA13" s="39"/>
      <c r="BB13" s="39"/>
      <c r="BC13" s="41"/>
      <c r="BD13" s="39"/>
      <c r="BE13" s="39"/>
      <c r="BF13" s="39"/>
      <c r="BG13" s="39"/>
      <c r="BH13" s="39"/>
      <c r="BI13" s="39"/>
      <c r="BJ13" s="41"/>
      <c r="BK13" s="39"/>
      <c r="BL13" s="39"/>
      <c r="BM13" s="39"/>
      <c r="BN13" s="39"/>
      <c r="BO13" s="39"/>
      <c r="BP13" s="42"/>
      <c r="BQ13" s="43"/>
      <c r="BR13" s="39"/>
      <c r="BS13" s="39"/>
      <c r="BT13" s="39"/>
      <c r="BU13" s="39"/>
      <c r="BV13" s="39"/>
      <c r="BW13" s="39"/>
      <c r="BX13" s="41"/>
      <c r="BY13" s="39"/>
      <c r="BZ13" s="39"/>
      <c r="CA13" s="39"/>
      <c r="CB13" s="39"/>
      <c r="CC13" s="39"/>
      <c r="CD13" s="39"/>
      <c r="CE13" s="41"/>
      <c r="CF13" s="39"/>
      <c r="CG13" s="39"/>
      <c r="CH13" s="39"/>
      <c r="CI13" s="39"/>
      <c r="CJ13" s="40"/>
      <c r="CK13" s="39"/>
      <c r="CL13" s="41"/>
      <c r="CM13" s="39"/>
      <c r="CN13" s="39"/>
      <c r="CO13" s="39"/>
      <c r="CP13" s="39"/>
      <c r="CQ13" s="39"/>
      <c r="CR13" s="39"/>
      <c r="CS13" s="41"/>
      <c r="CT13" s="39"/>
      <c r="CU13" s="42"/>
      <c r="CV13" s="44"/>
      <c r="CW13" s="39"/>
      <c r="CX13" s="40"/>
      <c r="CY13" s="39"/>
      <c r="CZ13" s="40"/>
      <c r="DA13" s="40"/>
      <c r="DB13" s="39"/>
      <c r="DC13" s="39"/>
      <c r="DD13" s="39"/>
      <c r="DE13" s="39"/>
      <c r="DF13" s="39"/>
      <c r="DG13" s="41"/>
      <c r="DH13" s="39"/>
      <c r="DI13" s="39"/>
      <c r="DJ13" s="39"/>
      <c r="DK13" s="39"/>
      <c r="DL13" s="39"/>
      <c r="DM13" s="39"/>
      <c r="DN13" s="41"/>
      <c r="DO13" s="39"/>
      <c r="DP13" s="39"/>
      <c r="DQ13" s="39"/>
      <c r="DR13" s="39"/>
      <c r="DS13" s="39"/>
      <c r="DT13" s="39"/>
      <c r="DU13" s="41"/>
      <c r="DV13" s="39"/>
      <c r="DW13" s="39"/>
      <c r="DX13" s="39"/>
      <c r="DY13" s="42"/>
      <c r="DZ13" s="45"/>
      <c r="EA13" s="39"/>
      <c r="EB13" s="41"/>
      <c r="EC13" s="39"/>
      <c r="ED13" s="39"/>
      <c r="EE13" s="39"/>
      <c r="EF13" s="39"/>
      <c r="EG13" s="39"/>
      <c r="EH13" s="39"/>
      <c r="EI13" s="41"/>
      <c r="EJ13" s="39"/>
      <c r="EK13" s="39"/>
      <c r="EL13" s="39"/>
      <c r="EM13" s="39"/>
      <c r="EN13" s="39"/>
      <c r="EO13" s="39"/>
      <c r="EP13" s="41"/>
      <c r="EQ13" s="39"/>
      <c r="ER13" s="39"/>
      <c r="ES13" s="39"/>
      <c r="ET13" s="39"/>
      <c r="EU13" s="39"/>
      <c r="EV13" s="39"/>
      <c r="EW13" s="41"/>
      <c r="EX13" s="39"/>
      <c r="EY13" s="39"/>
      <c r="EZ13" s="40"/>
      <c r="FA13" s="39"/>
      <c r="FB13" s="39"/>
      <c r="FC13" s="39"/>
      <c r="FD13" s="46"/>
      <c r="FE13" s="45"/>
      <c r="FF13" s="39"/>
      <c r="FG13" s="39"/>
      <c r="FH13" s="39"/>
      <c r="FI13" s="39"/>
      <c r="FJ13" s="39"/>
      <c r="FK13" s="41"/>
      <c r="FL13" s="39"/>
      <c r="FM13" s="39"/>
      <c r="FN13" s="39"/>
      <c r="FO13" s="39"/>
      <c r="FP13" s="39"/>
      <c r="FQ13" s="39"/>
      <c r="FR13" s="41"/>
      <c r="FS13" s="39"/>
      <c r="FT13" s="39"/>
      <c r="FU13" s="39"/>
      <c r="FV13" s="39"/>
      <c r="FW13" s="39"/>
      <c r="FX13" s="39"/>
      <c r="FY13" s="41"/>
      <c r="FZ13" s="39"/>
      <c r="GA13" s="39"/>
      <c r="GB13" s="39"/>
      <c r="GC13" s="39"/>
      <c r="GD13" s="39"/>
      <c r="GE13" s="39"/>
      <c r="GF13" s="41"/>
      <c r="GG13" s="39"/>
      <c r="GH13" s="42"/>
      <c r="GI13" s="44"/>
      <c r="GJ13" s="39"/>
      <c r="GK13" s="39"/>
      <c r="GL13" s="39"/>
      <c r="GM13" s="41"/>
      <c r="GN13" s="39"/>
      <c r="GO13" s="39"/>
      <c r="GP13" s="39"/>
      <c r="GQ13" s="39"/>
      <c r="GR13" s="39"/>
      <c r="GS13" s="39"/>
      <c r="GT13" s="41"/>
      <c r="GU13" s="39"/>
      <c r="GV13" s="39"/>
      <c r="GW13" s="39"/>
      <c r="GX13" s="39"/>
      <c r="GY13" s="39"/>
      <c r="GZ13" s="39"/>
      <c r="HA13" s="41"/>
      <c r="HB13" s="39"/>
      <c r="HC13" s="39"/>
      <c r="HD13" s="39"/>
      <c r="HE13" s="39"/>
      <c r="HF13" s="39"/>
      <c r="HG13" s="39"/>
      <c r="HH13" s="41"/>
      <c r="HI13" s="39"/>
      <c r="HJ13" s="39"/>
      <c r="HK13" s="39"/>
      <c r="HL13" s="39"/>
      <c r="HM13" s="42"/>
      <c r="HN13" s="44"/>
      <c r="HO13" s="41"/>
      <c r="HP13" s="39"/>
      <c r="HQ13" s="39"/>
      <c r="HR13" s="39"/>
      <c r="HS13" s="39"/>
      <c r="HT13" s="39"/>
      <c r="HU13" s="39"/>
      <c r="HV13" s="41"/>
      <c r="HW13" s="39"/>
      <c r="HX13" s="39"/>
      <c r="HY13" s="39"/>
      <c r="HZ13" s="39"/>
      <c r="IA13" s="39"/>
      <c r="IB13" s="39"/>
      <c r="IC13" s="41"/>
      <c r="ID13" s="39"/>
      <c r="IE13" s="39"/>
      <c r="IF13" s="39"/>
      <c r="IG13" s="39"/>
      <c r="IH13" s="39"/>
      <c r="II13" s="39"/>
      <c r="IJ13" s="41"/>
      <c r="IK13" s="39"/>
      <c r="IL13" s="39"/>
      <c r="IM13" s="39"/>
      <c r="IN13" s="39"/>
      <c r="IO13" s="39"/>
      <c r="IP13" s="39"/>
      <c r="IQ13" s="41"/>
      <c r="IR13" s="42"/>
      <c r="IS13" s="44"/>
      <c r="IT13" s="39"/>
      <c r="IU13" s="39"/>
      <c r="IV13" s="39"/>
      <c r="IW13" s="39"/>
      <c r="IX13" s="41"/>
      <c r="IY13" s="39"/>
      <c r="IZ13" s="39"/>
      <c r="JA13" s="39"/>
      <c r="JB13" s="39"/>
      <c r="JC13" s="39"/>
      <c r="JD13" s="39"/>
      <c r="JE13" s="41"/>
      <c r="JF13" s="39"/>
      <c r="JG13" s="39"/>
      <c r="JH13" s="39"/>
      <c r="JI13" s="39"/>
      <c r="JJ13" s="39"/>
      <c r="JK13" s="39"/>
      <c r="JL13" s="41"/>
      <c r="JM13" s="39"/>
      <c r="JN13" s="39"/>
      <c r="JO13" s="39"/>
      <c r="JP13" s="39"/>
      <c r="JQ13" s="39"/>
      <c r="JR13" s="39"/>
      <c r="JS13" s="41"/>
      <c r="JT13" s="39"/>
      <c r="JU13" s="39"/>
      <c r="JV13" s="42"/>
      <c r="JW13" s="44"/>
      <c r="JX13" s="39"/>
      <c r="JY13" s="39"/>
      <c r="JZ13" s="41"/>
      <c r="KA13" s="39"/>
      <c r="KB13" s="39"/>
      <c r="KC13" s="39"/>
      <c r="KD13" s="39"/>
      <c r="KE13" s="39"/>
      <c r="KF13" s="40"/>
      <c r="KG13" s="41"/>
      <c r="KH13" s="39"/>
      <c r="KI13" s="39"/>
      <c r="KJ13" s="39"/>
      <c r="KK13" s="39"/>
      <c r="KL13" s="39"/>
      <c r="KM13" s="39"/>
      <c r="KN13" s="41"/>
      <c r="KO13" s="39"/>
      <c r="KP13" s="40"/>
      <c r="KQ13" s="39"/>
      <c r="KR13" s="39"/>
      <c r="KS13" s="39"/>
      <c r="KT13" s="39"/>
      <c r="KU13" s="41"/>
      <c r="KV13" s="39"/>
      <c r="KW13" s="39"/>
      <c r="KX13" s="39"/>
      <c r="KY13" s="39"/>
      <c r="KZ13" s="39"/>
      <c r="LA13" s="42"/>
      <c r="LB13" s="43"/>
      <c r="LC13" s="39"/>
      <c r="LD13" s="39"/>
      <c r="LE13" s="39"/>
      <c r="LF13" s="39"/>
      <c r="LG13" s="39"/>
      <c r="LH13" s="39"/>
      <c r="LI13" s="41"/>
      <c r="LJ13" s="39"/>
      <c r="LK13" s="39"/>
      <c r="LL13" s="39"/>
      <c r="LM13" s="39"/>
      <c r="LN13" s="39"/>
      <c r="LO13" s="39"/>
      <c r="LP13" s="41"/>
      <c r="LQ13" s="39"/>
      <c r="LR13" s="39"/>
      <c r="LS13" s="39"/>
      <c r="LT13" s="39"/>
      <c r="LU13" s="39"/>
      <c r="LV13" s="39"/>
      <c r="LW13" s="41"/>
      <c r="LX13" s="39"/>
      <c r="LY13" s="39"/>
      <c r="LZ13" s="39"/>
      <c r="MA13" s="39"/>
      <c r="MB13" s="39"/>
      <c r="MC13" s="39"/>
      <c r="MD13" s="41"/>
      <c r="ME13" s="42"/>
      <c r="MF13" s="44"/>
      <c r="MG13" s="39"/>
      <c r="MH13" s="39"/>
      <c r="MI13" s="39"/>
      <c r="MJ13" s="39"/>
      <c r="MK13" s="41"/>
      <c r="ML13" s="39"/>
      <c r="MM13" s="39"/>
      <c r="MN13" s="39"/>
      <c r="MO13" s="39"/>
      <c r="MP13" s="39"/>
      <c r="MQ13" s="40"/>
      <c r="MR13" s="41"/>
      <c r="MS13" s="39"/>
      <c r="MT13" s="39"/>
      <c r="MU13" s="39"/>
      <c r="MV13" s="39"/>
      <c r="MW13" s="39"/>
      <c r="MX13" s="39"/>
      <c r="MY13" s="41"/>
      <c r="MZ13" s="39"/>
      <c r="NA13" s="39"/>
      <c r="NB13" s="39"/>
      <c r="NC13" s="39"/>
      <c r="ND13" s="40"/>
      <c r="NE13" s="40"/>
      <c r="NF13" s="41"/>
      <c r="NG13" s="39"/>
      <c r="NH13" s="39"/>
      <c r="NI13" s="39"/>
      <c r="NJ13" s="42"/>
    </row>
    <row r="14" spans="1:374">
      <c r="A14" s="145" t="s">
        <v>103</v>
      </c>
      <c r="B14" s="38" t="s">
        <v>104</v>
      </c>
      <c r="C14" s="38" t="s">
        <v>418</v>
      </c>
      <c r="D14" s="39">
        <v>4</v>
      </c>
      <c r="E14" s="39">
        <v>21</v>
      </c>
      <c r="F14" s="39">
        <f t="shared" si="0"/>
        <v>0</v>
      </c>
      <c r="G14" s="39">
        <f t="shared" si="1"/>
        <v>25</v>
      </c>
      <c r="H14" s="39">
        <f t="shared" si="2"/>
        <v>15</v>
      </c>
      <c r="I14" s="39">
        <f t="shared" si="3"/>
        <v>10</v>
      </c>
      <c r="J14" s="40"/>
      <c r="K14" s="39"/>
      <c r="L14" s="39"/>
      <c r="M14" s="41"/>
      <c r="N14" s="39"/>
      <c r="O14" s="39"/>
      <c r="P14" s="39"/>
      <c r="Q14" s="39"/>
      <c r="R14" s="39"/>
      <c r="S14" s="39"/>
      <c r="T14" s="41"/>
      <c r="U14" s="39"/>
      <c r="V14" s="39"/>
      <c r="W14" s="39"/>
      <c r="X14" s="39"/>
      <c r="Y14" s="39"/>
      <c r="Z14" s="39"/>
      <c r="AA14" s="41"/>
      <c r="AB14" s="39"/>
      <c r="AC14" s="39"/>
      <c r="AD14" s="39"/>
      <c r="AE14" s="39"/>
      <c r="AF14" s="39"/>
      <c r="AG14" s="39"/>
      <c r="AH14" s="41"/>
      <c r="AI14" s="39"/>
      <c r="AJ14" s="39"/>
      <c r="AK14" s="39"/>
      <c r="AL14" s="39"/>
      <c r="AM14" s="39"/>
      <c r="AN14" s="42"/>
      <c r="AO14" s="43"/>
      <c r="AP14" s="39"/>
      <c r="AQ14" s="39"/>
      <c r="AR14" s="39"/>
      <c r="AS14" s="39"/>
      <c r="AT14" s="39"/>
      <c r="AU14" s="39"/>
      <c r="AV14" s="41"/>
      <c r="AW14" s="39"/>
      <c r="AX14" s="39"/>
      <c r="AY14" s="39"/>
      <c r="AZ14" s="39"/>
      <c r="BA14" s="39"/>
      <c r="BB14" s="39"/>
      <c r="BC14" s="41"/>
      <c r="BD14" s="39"/>
      <c r="BE14" s="39"/>
      <c r="BF14" s="39"/>
      <c r="BG14" s="39"/>
      <c r="BH14" s="39"/>
      <c r="BI14" s="39"/>
      <c r="BJ14" s="41"/>
      <c r="BK14" s="39"/>
      <c r="BL14" s="39"/>
      <c r="BM14" s="39"/>
      <c r="BN14" s="39"/>
      <c r="BO14" s="39"/>
      <c r="BP14" s="42"/>
      <c r="BQ14" s="43"/>
      <c r="BR14" s="39"/>
      <c r="BS14" s="39"/>
      <c r="BT14" s="39"/>
      <c r="BU14" s="39"/>
      <c r="BV14" s="39"/>
      <c r="BW14" s="39"/>
      <c r="BX14" s="41"/>
      <c r="BY14" s="39"/>
      <c r="BZ14" s="39"/>
      <c r="CA14" s="39"/>
      <c r="CB14" s="39"/>
      <c r="CC14" s="39"/>
      <c r="CD14" s="39"/>
      <c r="CE14" s="41"/>
      <c r="CF14" s="39"/>
      <c r="CG14" s="39"/>
      <c r="CH14" s="39"/>
      <c r="CI14" s="39"/>
      <c r="CJ14" s="40"/>
      <c r="CK14" s="39"/>
      <c r="CL14" s="41"/>
      <c r="CM14" s="39"/>
      <c r="CN14" s="39"/>
      <c r="CO14" s="39"/>
      <c r="CP14" s="39"/>
      <c r="CQ14" s="39"/>
      <c r="CR14" s="39"/>
      <c r="CS14" s="41"/>
      <c r="CT14" s="39"/>
      <c r="CU14" s="42"/>
      <c r="CV14" s="44"/>
      <c r="CW14" s="39"/>
      <c r="CX14" s="40"/>
      <c r="CY14" s="39"/>
      <c r="CZ14" s="40"/>
      <c r="DA14" s="40"/>
      <c r="DB14" s="39"/>
      <c r="DC14" s="39"/>
      <c r="DD14" s="39"/>
      <c r="DE14" s="39"/>
      <c r="DF14" s="39"/>
      <c r="DG14" s="41"/>
      <c r="DH14" s="39"/>
      <c r="DI14" s="39"/>
      <c r="DJ14" s="39"/>
      <c r="DK14" s="39"/>
      <c r="DL14" s="39"/>
      <c r="DM14" s="39"/>
      <c r="DN14" s="41"/>
      <c r="DO14" s="39"/>
      <c r="DP14" s="39"/>
      <c r="DQ14" s="39"/>
      <c r="DR14" s="39"/>
      <c r="DS14" s="39"/>
      <c r="DT14" s="39"/>
      <c r="DU14" s="41"/>
      <c r="DV14" s="39"/>
      <c r="DW14" s="39"/>
      <c r="DX14" s="39"/>
      <c r="DY14" s="42"/>
      <c r="DZ14" s="45"/>
      <c r="EA14" s="39"/>
      <c r="EB14" s="41"/>
      <c r="EC14" s="39"/>
      <c r="ED14" s="39"/>
      <c r="EE14" s="39"/>
      <c r="EF14" s="39"/>
      <c r="EG14" s="39"/>
      <c r="EH14" s="39"/>
      <c r="EI14" s="41"/>
      <c r="EJ14" s="39"/>
      <c r="EK14" s="39"/>
      <c r="EL14" s="39"/>
      <c r="EM14" s="39"/>
      <c r="EN14" s="39"/>
      <c r="EO14" s="39"/>
      <c r="EP14" s="41"/>
      <c r="EQ14" s="39"/>
      <c r="ER14" s="39"/>
      <c r="ES14" s="39"/>
      <c r="ET14" s="39"/>
      <c r="EU14" s="39"/>
      <c r="EV14" s="39"/>
      <c r="EW14" s="41"/>
      <c r="EX14" s="39"/>
      <c r="EY14" s="39"/>
      <c r="EZ14" s="40"/>
      <c r="FA14" s="39"/>
      <c r="FB14" s="39"/>
      <c r="FC14" s="39"/>
      <c r="FD14" s="46"/>
      <c r="FE14" s="45"/>
      <c r="FF14" s="39"/>
      <c r="FG14" s="39"/>
      <c r="FH14" s="39"/>
      <c r="FI14" s="39"/>
      <c r="FJ14" s="39"/>
      <c r="FK14" s="41"/>
      <c r="FL14" s="39"/>
      <c r="FM14" s="39"/>
      <c r="FN14" s="39"/>
      <c r="FO14" s="39"/>
      <c r="FP14" s="39"/>
      <c r="FQ14" s="39"/>
      <c r="FR14" s="41"/>
      <c r="FS14" s="39"/>
      <c r="FT14" s="39"/>
      <c r="FU14" s="39"/>
      <c r="FV14" s="39"/>
      <c r="FW14" s="39"/>
      <c r="FX14" s="39"/>
      <c r="FY14" s="41"/>
      <c r="FZ14" s="39"/>
      <c r="GA14" s="39"/>
      <c r="GB14" s="39"/>
      <c r="GC14" s="39"/>
      <c r="GD14" s="39"/>
      <c r="GE14" s="39"/>
      <c r="GF14" s="41"/>
      <c r="GG14" s="39"/>
      <c r="GH14" s="42"/>
      <c r="GI14" s="44"/>
      <c r="GJ14" s="39"/>
      <c r="GK14" s="39"/>
      <c r="GL14" s="39"/>
      <c r="GM14" s="41"/>
      <c r="GN14" s="39"/>
      <c r="GO14" s="39"/>
      <c r="GP14" s="39"/>
      <c r="GQ14" s="39"/>
      <c r="GR14" s="39"/>
      <c r="GS14" s="39"/>
      <c r="GT14" s="41"/>
      <c r="GU14" s="39"/>
      <c r="GV14" s="39"/>
      <c r="GW14" s="39"/>
      <c r="GX14" s="39"/>
      <c r="GY14" s="39"/>
      <c r="GZ14" s="39"/>
      <c r="HA14" s="41"/>
      <c r="HB14" s="39"/>
      <c r="HC14" s="39"/>
      <c r="HD14" s="39"/>
      <c r="HE14" s="39"/>
      <c r="HF14" s="39"/>
      <c r="HG14" s="39"/>
      <c r="HH14" s="41"/>
      <c r="HI14" s="39"/>
      <c r="HJ14" s="39"/>
      <c r="HK14" s="39"/>
      <c r="HL14" s="39"/>
      <c r="HM14" s="42"/>
      <c r="HN14" s="44"/>
      <c r="HO14" s="41"/>
      <c r="HP14" s="39">
        <v>1</v>
      </c>
      <c r="HQ14" s="39">
        <v>1</v>
      </c>
      <c r="HR14" s="39">
        <v>1</v>
      </c>
      <c r="HS14" s="39">
        <v>1</v>
      </c>
      <c r="HT14" s="39">
        <v>1</v>
      </c>
      <c r="HU14" s="39"/>
      <c r="HV14" s="41"/>
      <c r="HW14" s="39">
        <v>1</v>
      </c>
      <c r="HX14" s="39">
        <v>1</v>
      </c>
      <c r="HY14" s="39">
        <v>1</v>
      </c>
      <c r="HZ14" s="39">
        <v>1</v>
      </c>
      <c r="IA14" s="39">
        <v>1</v>
      </c>
      <c r="IB14" s="39"/>
      <c r="IC14" s="41"/>
      <c r="ID14" s="39">
        <v>1</v>
      </c>
      <c r="IE14" s="39">
        <v>1</v>
      </c>
      <c r="IF14" s="39">
        <v>1</v>
      </c>
      <c r="IG14" s="39">
        <v>1</v>
      </c>
      <c r="IH14" s="39">
        <v>1</v>
      </c>
      <c r="II14" s="39"/>
      <c r="IJ14" s="41"/>
      <c r="IK14" s="39"/>
      <c r="IL14" s="39"/>
      <c r="IM14" s="39"/>
      <c r="IN14" s="39"/>
      <c r="IO14" s="39"/>
      <c r="IP14" s="39"/>
      <c r="IQ14" s="41"/>
      <c r="IR14" s="42"/>
      <c r="IS14" s="44"/>
      <c r="IT14" s="39"/>
      <c r="IU14" s="39"/>
      <c r="IV14" s="39"/>
      <c r="IW14" s="39"/>
      <c r="IX14" s="41"/>
      <c r="IY14" s="39"/>
      <c r="IZ14" s="39"/>
      <c r="JA14" s="39"/>
      <c r="JB14" s="39"/>
      <c r="JC14" s="39"/>
      <c r="JD14" s="39"/>
      <c r="JE14" s="41"/>
      <c r="JF14" s="39"/>
      <c r="JG14" s="39"/>
      <c r="JH14" s="39"/>
      <c r="JI14" s="39"/>
      <c r="JJ14" s="39"/>
      <c r="JK14" s="39"/>
      <c r="JL14" s="41"/>
      <c r="JM14" s="39"/>
      <c r="JN14" s="39"/>
      <c r="JO14" s="39"/>
      <c r="JP14" s="39"/>
      <c r="JQ14" s="39"/>
      <c r="JR14" s="39"/>
      <c r="JS14" s="41"/>
      <c r="JT14" s="39"/>
      <c r="JU14" s="39"/>
      <c r="JV14" s="42"/>
      <c r="JW14" s="44"/>
      <c r="JX14" s="39"/>
      <c r="JY14" s="39"/>
      <c r="JZ14" s="41"/>
      <c r="KA14" s="39"/>
      <c r="KB14" s="39"/>
      <c r="KC14" s="39"/>
      <c r="KD14" s="39"/>
      <c r="KE14" s="39"/>
      <c r="KF14" s="40"/>
      <c r="KG14" s="41"/>
      <c r="KH14" s="39"/>
      <c r="KI14" s="39"/>
      <c r="KJ14" s="39"/>
      <c r="KK14" s="39"/>
      <c r="KL14" s="39"/>
      <c r="KM14" s="39"/>
      <c r="KN14" s="41"/>
      <c r="KO14" s="39"/>
      <c r="KP14" s="40"/>
      <c r="KQ14" s="39"/>
      <c r="KR14" s="39"/>
      <c r="KS14" s="39"/>
      <c r="KT14" s="39"/>
      <c r="KU14" s="41"/>
      <c r="KV14" s="39"/>
      <c r="KW14" s="39"/>
      <c r="KX14" s="39"/>
      <c r="KY14" s="39"/>
      <c r="KZ14" s="39"/>
      <c r="LA14" s="42"/>
      <c r="LB14" s="43"/>
      <c r="LC14" s="39"/>
      <c r="LD14" s="39"/>
      <c r="LE14" s="39"/>
      <c r="LF14" s="39"/>
      <c r="LG14" s="39"/>
      <c r="LH14" s="39"/>
      <c r="LI14" s="41"/>
      <c r="LJ14" s="39"/>
      <c r="LK14" s="39"/>
      <c r="LL14" s="39"/>
      <c r="LM14" s="39"/>
      <c r="LN14" s="39"/>
      <c r="LO14" s="39"/>
      <c r="LP14" s="41"/>
      <c r="LQ14" s="39"/>
      <c r="LR14" s="39"/>
      <c r="LS14" s="39"/>
      <c r="LT14" s="39"/>
      <c r="LU14" s="39"/>
      <c r="LV14" s="39"/>
      <c r="LW14" s="41"/>
      <c r="LX14" s="39"/>
      <c r="LY14" s="39"/>
      <c r="LZ14" s="39"/>
      <c r="MA14" s="39"/>
      <c r="MB14" s="39"/>
      <c r="MC14" s="39"/>
      <c r="MD14" s="41"/>
      <c r="ME14" s="42"/>
      <c r="MF14" s="44"/>
      <c r="MG14" s="39"/>
      <c r="MH14" s="39"/>
      <c r="MI14" s="39"/>
      <c r="MJ14" s="39"/>
      <c r="MK14" s="41"/>
      <c r="ML14" s="39"/>
      <c r="MM14" s="39"/>
      <c r="MN14" s="39"/>
      <c r="MO14" s="39"/>
      <c r="MP14" s="39"/>
      <c r="MQ14" s="40"/>
      <c r="MR14" s="41"/>
      <c r="MS14" s="39"/>
      <c r="MT14" s="39"/>
      <c r="MU14" s="39"/>
      <c r="MV14" s="39"/>
      <c r="MW14" s="39"/>
      <c r="MX14" s="39"/>
      <c r="MY14" s="41"/>
      <c r="MZ14" s="39"/>
      <c r="NA14" s="39"/>
      <c r="NB14" s="39"/>
      <c r="NC14" s="39"/>
      <c r="ND14" s="40"/>
      <c r="NE14" s="40"/>
      <c r="NF14" s="41"/>
      <c r="NG14" s="39"/>
      <c r="NH14" s="39"/>
      <c r="NI14" s="39"/>
      <c r="NJ14" s="42"/>
    </row>
    <row r="15" spans="1:374">
      <c r="A15" s="147" t="s">
        <v>107</v>
      </c>
      <c r="B15" s="51" t="s">
        <v>108</v>
      </c>
      <c r="C15" s="51" t="s">
        <v>423</v>
      </c>
      <c r="D15" s="39"/>
      <c r="E15" s="39">
        <v>21</v>
      </c>
      <c r="F15" s="39">
        <f t="shared" si="0"/>
        <v>0</v>
      </c>
      <c r="G15" s="39">
        <f t="shared" si="1"/>
        <v>21</v>
      </c>
      <c r="H15" s="39">
        <f t="shared" si="2"/>
        <v>1</v>
      </c>
      <c r="I15" s="39">
        <f t="shared" si="3"/>
        <v>20</v>
      </c>
      <c r="J15" s="40"/>
      <c r="K15" s="39"/>
      <c r="L15" s="39"/>
      <c r="M15" s="41"/>
      <c r="N15" s="39"/>
      <c r="O15" s="39"/>
      <c r="P15" s="39"/>
      <c r="Q15" s="39"/>
      <c r="R15" s="39"/>
      <c r="S15" s="39"/>
      <c r="T15" s="41"/>
      <c r="U15" s="39"/>
      <c r="V15" s="39"/>
      <c r="W15" s="39"/>
      <c r="X15" s="39"/>
      <c r="Y15" s="39"/>
      <c r="Z15" s="39"/>
      <c r="AA15" s="41"/>
      <c r="AB15" s="39"/>
      <c r="AC15" s="39"/>
      <c r="AD15" s="39"/>
      <c r="AE15" s="39"/>
      <c r="AF15" s="39"/>
      <c r="AG15" s="39"/>
      <c r="AH15" s="41"/>
      <c r="AI15" s="39"/>
      <c r="AJ15" s="39"/>
      <c r="AK15" s="39"/>
      <c r="AL15" s="39"/>
      <c r="AM15" s="39"/>
      <c r="AN15" s="42"/>
      <c r="AO15" s="43"/>
      <c r="AP15" s="39"/>
      <c r="AQ15" s="39"/>
      <c r="AR15" s="39"/>
      <c r="AS15" s="39"/>
      <c r="AT15" s="39"/>
      <c r="AU15" s="39"/>
      <c r="AV15" s="41"/>
      <c r="AW15" s="39"/>
      <c r="AX15" s="39"/>
      <c r="AY15" s="39"/>
      <c r="AZ15" s="39"/>
      <c r="BA15" s="39"/>
      <c r="BB15" s="39"/>
      <c r="BC15" s="41"/>
      <c r="BD15" s="39"/>
      <c r="BE15" s="39"/>
      <c r="BF15" s="39"/>
      <c r="BG15" s="39"/>
      <c r="BH15" s="39"/>
      <c r="BI15" s="39"/>
      <c r="BJ15" s="41"/>
      <c r="BK15" s="39"/>
      <c r="BL15" s="39"/>
      <c r="BM15" s="39"/>
      <c r="BN15" s="39"/>
      <c r="BO15" s="39"/>
      <c r="BP15" s="42"/>
      <c r="BQ15" s="43"/>
      <c r="BR15" s="39"/>
      <c r="BS15" s="39"/>
      <c r="BT15" s="39"/>
      <c r="BU15" s="39"/>
      <c r="BV15" s="39"/>
      <c r="BW15" s="39"/>
      <c r="BX15" s="41"/>
      <c r="BY15" s="39"/>
      <c r="BZ15" s="39"/>
      <c r="CA15" s="39"/>
      <c r="CB15" s="39"/>
      <c r="CC15" s="39"/>
      <c r="CD15" s="39"/>
      <c r="CE15" s="41"/>
      <c r="CF15" s="39"/>
      <c r="CG15" s="39"/>
      <c r="CH15" s="39"/>
      <c r="CI15" s="39"/>
      <c r="CJ15" s="40"/>
      <c r="CK15" s="39"/>
      <c r="CL15" s="41"/>
      <c r="CM15" s="39"/>
      <c r="CN15" s="39"/>
      <c r="CO15" s="39"/>
      <c r="CP15" s="39"/>
      <c r="CQ15" s="39"/>
      <c r="CR15" s="39"/>
      <c r="CS15" s="41"/>
      <c r="CT15" s="39"/>
      <c r="CU15" s="42"/>
      <c r="CV15" s="44">
        <v>1</v>
      </c>
      <c r="CW15" s="39"/>
      <c r="CX15" s="40"/>
      <c r="CY15" s="39"/>
      <c r="CZ15" s="40"/>
      <c r="DA15" s="40"/>
      <c r="DB15" s="39"/>
      <c r="DC15" s="39"/>
      <c r="DD15" s="39"/>
      <c r="DE15" s="39"/>
      <c r="DF15" s="39"/>
      <c r="DG15" s="41"/>
      <c r="DH15" s="39"/>
      <c r="DI15" s="39"/>
      <c r="DJ15" s="39"/>
      <c r="DK15" s="39"/>
      <c r="DL15" s="39"/>
      <c r="DM15" s="39"/>
      <c r="DN15" s="41"/>
      <c r="DO15" s="39"/>
      <c r="DP15" s="39"/>
      <c r="DQ15" s="39"/>
      <c r="DR15" s="39"/>
      <c r="DS15" s="39"/>
      <c r="DT15" s="39"/>
      <c r="DU15" s="41"/>
      <c r="DV15" s="39"/>
      <c r="DW15" s="39"/>
      <c r="DX15" s="39"/>
      <c r="DY15" s="42"/>
      <c r="DZ15" s="45"/>
      <c r="EA15" s="39"/>
      <c r="EB15" s="41"/>
      <c r="EC15" s="39"/>
      <c r="ED15" s="39"/>
      <c r="EE15" s="39"/>
      <c r="EF15" s="39"/>
      <c r="EG15" s="39"/>
      <c r="EH15" s="39"/>
      <c r="EI15" s="41"/>
      <c r="EJ15" s="39"/>
      <c r="EK15" s="39"/>
      <c r="EL15" s="39"/>
      <c r="EM15" s="39"/>
      <c r="EN15" s="39"/>
      <c r="EO15" s="39"/>
      <c r="EP15" s="41"/>
      <c r="EQ15" s="39"/>
      <c r="ER15" s="39"/>
      <c r="ES15" s="39"/>
      <c r="ET15" s="39"/>
      <c r="EU15" s="39"/>
      <c r="EV15" s="39"/>
      <c r="EW15" s="41"/>
      <c r="EX15" s="39"/>
      <c r="EY15" s="39"/>
      <c r="EZ15" s="40"/>
      <c r="FA15" s="39"/>
      <c r="FB15" s="39"/>
      <c r="FC15" s="39"/>
      <c r="FD15" s="46"/>
      <c r="FE15" s="45"/>
      <c r="FF15" s="39"/>
      <c r="FG15" s="39"/>
      <c r="FH15" s="39"/>
      <c r="FI15" s="39"/>
      <c r="FJ15" s="39"/>
      <c r="FK15" s="41"/>
      <c r="FL15" s="39"/>
      <c r="FM15" s="39"/>
      <c r="FN15" s="39"/>
      <c r="FO15" s="39"/>
      <c r="FP15" s="39"/>
      <c r="FQ15" s="39"/>
      <c r="FR15" s="41"/>
      <c r="FS15" s="39"/>
      <c r="FT15" s="39"/>
      <c r="FU15" s="39"/>
      <c r="FV15" s="39"/>
      <c r="FW15" s="39"/>
      <c r="FX15" s="39"/>
      <c r="FY15" s="41"/>
      <c r="FZ15" s="39"/>
      <c r="GA15" s="39"/>
      <c r="GB15" s="39"/>
      <c r="GC15" s="39"/>
      <c r="GD15" s="39"/>
      <c r="GE15" s="39"/>
      <c r="GF15" s="41"/>
      <c r="GG15" s="39"/>
      <c r="GH15" s="42"/>
      <c r="GI15" s="44"/>
      <c r="GJ15" s="39"/>
      <c r="GK15" s="39"/>
      <c r="GL15" s="39"/>
      <c r="GM15" s="41"/>
      <c r="GN15" s="39"/>
      <c r="GO15" s="39"/>
      <c r="GP15" s="39"/>
      <c r="GQ15" s="39"/>
      <c r="GR15" s="39"/>
      <c r="GS15" s="39"/>
      <c r="GT15" s="41"/>
      <c r="GU15" s="39"/>
      <c r="GV15" s="39"/>
      <c r="GW15" s="39"/>
      <c r="GX15" s="39"/>
      <c r="GY15" s="39"/>
      <c r="GZ15" s="39"/>
      <c r="HA15" s="41"/>
      <c r="HB15" s="39"/>
      <c r="HC15" s="39"/>
      <c r="HD15" s="39"/>
      <c r="HE15" s="39"/>
      <c r="HF15" s="39"/>
      <c r="HG15" s="39"/>
      <c r="HH15" s="41"/>
      <c r="HI15" s="39"/>
      <c r="HJ15" s="39"/>
      <c r="HK15" s="39"/>
      <c r="HL15" s="39"/>
      <c r="HM15" s="42"/>
      <c r="HN15" s="44"/>
      <c r="HO15" s="41"/>
      <c r="HP15" s="39"/>
      <c r="HQ15" s="39"/>
      <c r="HR15" s="39"/>
      <c r="HS15" s="39"/>
      <c r="HT15" s="39"/>
      <c r="HU15" s="39"/>
      <c r="HV15" s="41"/>
      <c r="HW15" s="39"/>
      <c r="HX15" s="39"/>
      <c r="HY15" s="39"/>
      <c r="HZ15" s="39"/>
      <c r="IA15" s="39"/>
      <c r="IB15" s="39"/>
      <c r="IC15" s="41"/>
      <c r="ID15" s="39"/>
      <c r="IE15" s="39"/>
      <c r="IF15" s="39"/>
      <c r="IG15" s="39"/>
      <c r="IH15" s="39"/>
      <c r="II15" s="39"/>
      <c r="IJ15" s="41"/>
      <c r="IK15" s="39"/>
      <c r="IL15" s="39"/>
      <c r="IM15" s="39"/>
      <c r="IN15" s="39"/>
      <c r="IO15" s="39"/>
      <c r="IP15" s="39"/>
      <c r="IQ15" s="41"/>
      <c r="IR15" s="42"/>
      <c r="IS15" s="44"/>
      <c r="IT15" s="39"/>
      <c r="IU15" s="39"/>
      <c r="IV15" s="39"/>
      <c r="IW15" s="39"/>
      <c r="IX15" s="41"/>
      <c r="IY15" s="39"/>
      <c r="IZ15" s="39"/>
      <c r="JA15" s="39"/>
      <c r="JB15" s="39"/>
      <c r="JC15" s="39"/>
      <c r="JD15" s="39"/>
      <c r="JE15" s="41"/>
      <c r="JF15" s="39"/>
      <c r="JG15" s="39"/>
      <c r="JH15" s="39"/>
      <c r="JI15" s="39"/>
      <c r="JJ15" s="39"/>
      <c r="JK15" s="39"/>
      <c r="JL15" s="41"/>
      <c r="JM15" s="39"/>
      <c r="JN15" s="39"/>
      <c r="JO15" s="39"/>
      <c r="JP15" s="39"/>
      <c r="JQ15" s="39"/>
      <c r="JR15" s="39"/>
      <c r="JS15" s="41"/>
      <c r="JT15" s="39"/>
      <c r="JU15" s="39"/>
      <c r="JV15" s="42"/>
      <c r="JW15" s="44"/>
      <c r="JX15" s="39"/>
      <c r="JY15" s="39"/>
      <c r="JZ15" s="41"/>
      <c r="KA15" s="39"/>
      <c r="KB15" s="39"/>
      <c r="KC15" s="39"/>
      <c r="KD15" s="39"/>
      <c r="KE15" s="39"/>
      <c r="KF15" s="40"/>
      <c r="KG15" s="41"/>
      <c r="KH15" s="39"/>
      <c r="KI15" s="39"/>
      <c r="KJ15" s="39"/>
      <c r="KK15" s="39"/>
      <c r="KL15" s="39"/>
      <c r="KM15" s="39"/>
      <c r="KN15" s="41"/>
      <c r="KO15" s="39"/>
      <c r="KP15" s="40"/>
      <c r="KQ15" s="39"/>
      <c r="KR15" s="39"/>
      <c r="KS15" s="39"/>
      <c r="KT15" s="39"/>
      <c r="KU15" s="41"/>
      <c r="KV15" s="39"/>
      <c r="KW15" s="39"/>
      <c r="KX15" s="39"/>
      <c r="KY15" s="39"/>
      <c r="KZ15" s="39"/>
      <c r="LA15" s="42"/>
      <c r="LB15" s="43"/>
      <c r="LC15" s="39"/>
      <c r="LD15" s="39"/>
      <c r="LE15" s="39"/>
      <c r="LF15" s="39"/>
      <c r="LG15" s="39"/>
      <c r="LH15" s="39"/>
      <c r="LI15" s="41"/>
      <c r="LJ15" s="39"/>
      <c r="LK15" s="39"/>
      <c r="LL15" s="39"/>
      <c r="LM15" s="39"/>
      <c r="LN15" s="39"/>
      <c r="LO15" s="39"/>
      <c r="LP15" s="41"/>
      <c r="LQ15" s="39"/>
      <c r="LR15" s="39"/>
      <c r="LS15" s="39"/>
      <c r="LT15" s="39"/>
      <c r="LU15" s="39"/>
      <c r="LV15" s="39"/>
      <c r="LW15" s="41"/>
      <c r="LX15" s="39"/>
      <c r="LY15" s="39"/>
      <c r="LZ15" s="39"/>
      <c r="MA15" s="39"/>
      <c r="MB15" s="39"/>
      <c r="MC15" s="39"/>
      <c r="MD15" s="41"/>
      <c r="ME15" s="42"/>
      <c r="MF15" s="44"/>
      <c r="MG15" s="39"/>
      <c r="MH15" s="39"/>
      <c r="MI15" s="39"/>
      <c r="MJ15" s="39"/>
      <c r="MK15" s="41"/>
      <c r="ML15" s="39"/>
      <c r="MM15" s="39"/>
      <c r="MN15" s="39"/>
      <c r="MO15" s="39"/>
      <c r="MP15" s="39"/>
      <c r="MQ15" s="40"/>
      <c r="MR15" s="41"/>
      <c r="MS15" s="39"/>
      <c r="MT15" s="39"/>
      <c r="MU15" s="39"/>
      <c r="MV15" s="39"/>
      <c r="MW15" s="39"/>
      <c r="MX15" s="39"/>
      <c r="MY15" s="41"/>
      <c r="MZ15" s="39"/>
      <c r="NA15" s="39"/>
      <c r="NB15" s="39"/>
      <c r="NC15" s="39"/>
      <c r="ND15" s="40"/>
      <c r="NE15" s="40"/>
      <c r="NF15" s="41"/>
      <c r="NG15" s="39"/>
      <c r="NH15" s="39"/>
      <c r="NI15" s="39"/>
      <c r="NJ15" s="42"/>
    </row>
    <row r="16" spans="1:374">
      <c r="A16" s="145" t="s">
        <v>111</v>
      </c>
      <c r="B16" s="38" t="s">
        <v>33</v>
      </c>
      <c r="C16" s="38" t="s">
        <v>424</v>
      </c>
      <c r="D16" s="39">
        <v>5</v>
      </c>
      <c r="E16" s="39">
        <v>21</v>
      </c>
      <c r="F16" s="39">
        <f t="shared" si="0"/>
        <v>0</v>
      </c>
      <c r="G16" s="39">
        <f t="shared" si="1"/>
        <v>26</v>
      </c>
      <c r="H16" s="39">
        <f t="shared" si="2"/>
        <v>0</v>
      </c>
      <c r="I16" s="39">
        <f t="shared" ref="I16:I35" si="4">G16-H16</f>
        <v>26</v>
      </c>
      <c r="J16" s="40"/>
      <c r="K16" s="39"/>
      <c r="L16" s="39"/>
      <c r="M16" s="41"/>
      <c r="N16" s="39"/>
      <c r="O16" s="39"/>
      <c r="P16" s="39"/>
      <c r="Q16" s="39"/>
      <c r="R16" s="39"/>
      <c r="S16" s="39"/>
      <c r="T16" s="41"/>
      <c r="U16" s="39"/>
      <c r="V16" s="39"/>
      <c r="W16" s="39"/>
      <c r="X16" s="39"/>
      <c r="Y16" s="39"/>
      <c r="Z16" s="39"/>
      <c r="AA16" s="41"/>
      <c r="AB16" s="39"/>
      <c r="AC16" s="39"/>
      <c r="AD16" s="39"/>
      <c r="AE16" s="39"/>
      <c r="AF16" s="39"/>
      <c r="AG16" s="39"/>
      <c r="AH16" s="41"/>
      <c r="AI16" s="39"/>
      <c r="AJ16" s="39"/>
      <c r="AK16" s="39"/>
      <c r="AL16" s="39"/>
      <c r="AM16" s="39"/>
      <c r="AN16" s="42"/>
      <c r="AO16" s="43"/>
      <c r="AP16" s="39"/>
      <c r="AQ16" s="39"/>
      <c r="AR16" s="39"/>
      <c r="AS16" s="39"/>
      <c r="AT16" s="39"/>
      <c r="AU16" s="39"/>
      <c r="AV16" s="41"/>
      <c r="AW16" s="39"/>
      <c r="AX16" s="39"/>
      <c r="AY16" s="39"/>
      <c r="AZ16" s="39"/>
      <c r="BA16" s="39"/>
      <c r="BB16" s="39"/>
      <c r="BC16" s="41"/>
      <c r="BD16" s="39"/>
      <c r="BE16" s="39"/>
      <c r="BF16" s="39"/>
      <c r="BG16" s="39"/>
      <c r="BH16" s="39"/>
      <c r="BI16" s="39"/>
      <c r="BJ16" s="41"/>
      <c r="BK16" s="39"/>
      <c r="BL16" s="39"/>
      <c r="BM16" s="39"/>
      <c r="BN16" s="39"/>
      <c r="BO16" s="39"/>
      <c r="BP16" s="42"/>
      <c r="BQ16" s="43"/>
      <c r="BR16" s="39"/>
      <c r="BS16" s="39"/>
      <c r="BT16" s="39"/>
      <c r="BU16" s="39"/>
      <c r="BV16" s="39"/>
      <c r="BW16" s="39"/>
      <c r="BX16" s="41"/>
      <c r="BY16" s="39"/>
      <c r="BZ16" s="39"/>
      <c r="CA16" s="39"/>
      <c r="CB16" s="39"/>
      <c r="CC16" s="39"/>
      <c r="CD16" s="39"/>
      <c r="CE16" s="41"/>
      <c r="CF16" s="39"/>
      <c r="CG16" s="39"/>
      <c r="CH16" s="39"/>
      <c r="CI16" s="39"/>
      <c r="CJ16" s="40"/>
      <c r="CK16" s="39"/>
      <c r="CL16" s="41"/>
      <c r="CM16" s="39"/>
      <c r="CN16" s="39"/>
      <c r="CO16" s="39"/>
      <c r="CP16" s="39"/>
      <c r="CQ16" s="39"/>
      <c r="CR16" s="39"/>
      <c r="CS16" s="41"/>
      <c r="CT16" s="39"/>
      <c r="CU16" s="42"/>
      <c r="CV16" s="44"/>
      <c r="CW16" s="39"/>
      <c r="CX16" s="40"/>
      <c r="CY16" s="39"/>
      <c r="CZ16" s="40"/>
      <c r="DA16" s="40"/>
      <c r="DB16" s="39"/>
      <c r="DC16" s="39"/>
      <c r="DD16" s="39"/>
      <c r="DE16" s="39"/>
      <c r="DF16" s="39"/>
      <c r="DG16" s="41"/>
      <c r="DH16" s="39"/>
      <c r="DI16" s="39"/>
      <c r="DJ16" s="39"/>
      <c r="DK16" s="39"/>
      <c r="DL16" s="39"/>
      <c r="DM16" s="39"/>
      <c r="DN16" s="41"/>
      <c r="DO16" s="39"/>
      <c r="DP16" s="39"/>
      <c r="DQ16" s="39"/>
      <c r="DR16" s="39"/>
      <c r="DS16" s="39"/>
      <c r="DT16" s="39"/>
      <c r="DU16" s="41"/>
      <c r="DV16" s="39"/>
      <c r="DW16" s="39"/>
      <c r="DX16" s="39"/>
      <c r="DY16" s="42"/>
      <c r="DZ16" s="45"/>
      <c r="EA16" s="39"/>
      <c r="EB16" s="41"/>
      <c r="EC16" s="39"/>
      <c r="ED16" s="39"/>
      <c r="EE16" s="39"/>
      <c r="EF16" s="39"/>
      <c r="EG16" s="39"/>
      <c r="EH16" s="39"/>
      <c r="EI16" s="41"/>
      <c r="EJ16" s="39"/>
      <c r="EK16" s="39"/>
      <c r="EL16" s="39"/>
      <c r="EM16" s="39"/>
      <c r="EN16" s="39"/>
      <c r="EO16" s="39"/>
      <c r="EP16" s="41"/>
      <c r="EQ16" s="39"/>
      <c r="ER16" s="39"/>
      <c r="ES16" s="39"/>
      <c r="ET16" s="39"/>
      <c r="EU16" s="39"/>
      <c r="EV16" s="39"/>
      <c r="EW16" s="41"/>
      <c r="EX16" s="39"/>
      <c r="EY16" s="39"/>
      <c r="EZ16" s="40"/>
      <c r="FA16" s="39"/>
      <c r="FB16" s="39"/>
      <c r="FC16" s="39"/>
      <c r="FD16" s="46"/>
      <c r="FE16" s="45"/>
      <c r="FF16" s="39"/>
      <c r="FG16" s="39"/>
      <c r="FH16" s="39"/>
      <c r="FI16" s="39"/>
      <c r="FJ16" s="39"/>
      <c r="FK16" s="41"/>
      <c r="FL16" s="39"/>
      <c r="FM16" s="39"/>
      <c r="FN16" s="39"/>
      <c r="FO16" s="39"/>
      <c r="FP16" s="39"/>
      <c r="FQ16" s="39"/>
      <c r="FR16" s="41"/>
      <c r="FS16" s="39"/>
      <c r="FT16" s="39"/>
      <c r="FU16" s="39"/>
      <c r="FV16" s="39"/>
      <c r="FW16" s="39"/>
      <c r="FX16" s="39"/>
      <c r="FY16" s="41"/>
      <c r="FZ16" s="39"/>
      <c r="GA16" s="39"/>
      <c r="GB16" s="39"/>
      <c r="GC16" s="39"/>
      <c r="GD16" s="39"/>
      <c r="GE16" s="39"/>
      <c r="GF16" s="41"/>
      <c r="GG16" s="39"/>
      <c r="GH16" s="42"/>
      <c r="GI16" s="44"/>
      <c r="GJ16" s="39"/>
      <c r="GK16" s="39"/>
      <c r="GL16" s="39"/>
      <c r="GM16" s="41"/>
      <c r="GN16" s="39"/>
      <c r="GO16" s="39"/>
      <c r="GP16" s="39"/>
      <c r="GQ16" s="39"/>
      <c r="GR16" s="39"/>
      <c r="GS16" s="39"/>
      <c r="GT16" s="41"/>
      <c r="GU16" s="39"/>
      <c r="GV16" s="39"/>
      <c r="GW16" s="39"/>
      <c r="GX16" s="39"/>
      <c r="GY16" s="39"/>
      <c r="GZ16" s="39"/>
      <c r="HA16" s="41"/>
      <c r="HB16" s="39"/>
      <c r="HC16" s="39"/>
      <c r="HD16" s="39"/>
      <c r="HE16" s="39"/>
      <c r="HF16" s="39"/>
      <c r="HG16" s="39"/>
      <c r="HH16" s="41"/>
      <c r="HI16" s="39"/>
      <c r="HJ16" s="39"/>
      <c r="HK16" s="39"/>
      <c r="HL16" s="39"/>
      <c r="HM16" s="42"/>
      <c r="HN16" s="44"/>
      <c r="HO16" s="41"/>
      <c r="HP16" s="39"/>
      <c r="HQ16" s="39"/>
      <c r="HR16" s="39"/>
      <c r="HS16" s="39"/>
      <c r="HT16" s="39"/>
      <c r="HU16" s="39"/>
      <c r="HV16" s="41"/>
      <c r="HW16" s="39"/>
      <c r="HX16" s="39"/>
      <c r="HY16" s="39"/>
      <c r="HZ16" s="39"/>
      <c r="IA16" s="39"/>
      <c r="IB16" s="39"/>
      <c r="IC16" s="41"/>
      <c r="ID16" s="39"/>
      <c r="IE16" s="39"/>
      <c r="IF16" s="39"/>
      <c r="IG16" s="39"/>
      <c r="IH16" s="39"/>
      <c r="II16" s="39"/>
      <c r="IJ16" s="41"/>
      <c r="IK16" s="39"/>
      <c r="IL16" s="39"/>
      <c r="IM16" s="39"/>
      <c r="IN16" s="39"/>
      <c r="IO16" s="39"/>
      <c r="IP16" s="39"/>
      <c r="IQ16" s="41"/>
      <c r="IR16" s="42"/>
      <c r="IS16" s="44"/>
      <c r="IT16" s="39"/>
      <c r="IU16" s="39"/>
      <c r="IV16" s="39"/>
      <c r="IW16" s="39"/>
      <c r="IX16" s="41"/>
      <c r="IY16" s="39"/>
      <c r="IZ16" s="39"/>
      <c r="JA16" s="39"/>
      <c r="JB16" s="39"/>
      <c r="JC16" s="39"/>
      <c r="JD16" s="39"/>
      <c r="JE16" s="41"/>
      <c r="JF16" s="39"/>
      <c r="JG16" s="39"/>
      <c r="JH16" s="39"/>
      <c r="JI16" s="39"/>
      <c r="JJ16" s="39"/>
      <c r="JK16" s="39"/>
      <c r="JL16" s="41"/>
      <c r="JM16" s="39"/>
      <c r="JN16" s="39"/>
      <c r="JO16" s="39"/>
      <c r="JP16" s="39"/>
      <c r="JQ16" s="39"/>
      <c r="JR16" s="39"/>
      <c r="JS16" s="41"/>
      <c r="JT16" s="39"/>
      <c r="JU16" s="39"/>
      <c r="JV16" s="42"/>
      <c r="JW16" s="44"/>
      <c r="JX16" s="39"/>
      <c r="JY16" s="39"/>
      <c r="JZ16" s="41"/>
      <c r="KA16" s="39"/>
      <c r="KB16" s="39"/>
      <c r="KC16" s="39"/>
      <c r="KD16" s="39"/>
      <c r="KE16" s="39"/>
      <c r="KF16" s="40"/>
      <c r="KG16" s="41"/>
      <c r="KH16" s="39"/>
      <c r="KI16" s="39"/>
      <c r="KJ16" s="39"/>
      <c r="KK16" s="39"/>
      <c r="KL16" s="39"/>
      <c r="KM16" s="39"/>
      <c r="KN16" s="41"/>
      <c r="KO16" s="39"/>
      <c r="KP16" s="40"/>
      <c r="KQ16" s="39"/>
      <c r="KR16" s="39"/>
      <c r="KS16" s="39"/>
      <c r="KT16" s="39"/>
      <c r="KU16" s="41"/>
      <c r="KV16" s="39"/>
      <c r="KW16" s="39"/>
      <c r="KX16" s="39"/>
      <c r="KY16" s="39"/>
      <c r="KZ16" s="39"/>
      <c r="LA16" s="42"/>
      <c r="LB16" s="43"/>
      <c r="LC16" s="39"/>
      <c r="LD16" s="39"/>
      <c r="LE16" s="39"/>
      <c r="LF16" s="39"/>
      <c r="LG16" s="39"/>
      <c r="LH16" s="39"/>
      <c r="LI16" s="41"/>
      <c r="LJ16" s="39"/>
      <c r="LK16" s="39"/>
      <c r="LL16" s="39"/>
      <c r="LM16" s="39"/>
      <c r="LN16" s="39"/>
      <c r="LO16" s="39"/>
      <c r="LP16" s="41"/>
      <c r="LQ16" s="39"/>
      <c r="LR16" s="39"/>
      <c r="LS16" s="39"/>
      <c r="LT16" s="39"/>
      <c r="LU16" s="39"/>
      <c r="LV16" s="39"/>
      <c r="LW16" s="41"/>
      <c r="LX16" s="39"/>
      <c r="LY16" s="39"/>
      <c r="LZ16" s="39"/>
      <c r="MA16" s="39"/>
      <c r="MB16" s="39"/>
      <c r="MC16" s="39"/>
      <c r="MD16" s="41"/>
      <c r="ME16" s="42"/>
      <c r="MF16" s="44"/>
      <c r="MG16" s="39"/>
      <c r="MH16" s="39"/>
      <c r="MI16" s="39"/>
      <c r="MJ16" s="39"/>
      <c r="MK16" s="41"/>
      <c r="ML16" s="39"/>
      <c r="MM16" s="39"/>
      <c r="MN16" s="39"/>
      <c r="MO16" s="39"/>
      <c r="MP16" s="39"/>
      <c r="MQ16" s="40"/>
      <c r="MR16" s="41"/>
      <c r="MS16" s="39"/>
      <c r="MT16" s="39"/>
      <c r="MU16" s="39"/>
      <c r="MV16" s="39"/>
      <c r="MW16" s="39"/>
      <c r="MX16" s="39"/>
      <c r="MY16" s="41"/>
      <c r="MZ16" s="39"/>
      <c r="NA16" s="39"/>
      <c r="NB16" s="39"/>
      <c r="NC16" s="39"/>
      <c r="ND16" s="40"/>
      <c r="NE16" s="40"/>
      <c r="NF16" s="41"/>
      <c r="NG16" s="39"/>
      <c r="NH16" s="39"/>
      <c r="NI16" s="39"/>
      <c r="NJ16" s="42"/>
    </row>
    <row r="17" spans="1:374">
      <c r="A17" s="146" t="s">
        <v>116</v>
      </c>
      <c r="B17" s="48" t="s">
        <v>117</v>
      </c>
      <c r="C17" s="48" t="s">
        <v>425</v>
      </c>
      <c r="D17" s="39">
        <v>5</v>
      </c>
      <c r="E17" s="39">
        <v>21</v>
      </c>
      <c r="F17" s="39">
        <f t="shared" si="0"/>
        <v>0</v>
      </c>
      <c r="G17" s="39">
        <f t="shared" si="1"/>
        <v>26</v>
      </c>
      <c r="H17" s="39">
        <f t="shared" si="2"/>
        <v>0</v>
      </c>
      <c r="I17" s="39">
        <f t="shared" si="4"/>
        <v>26</v>
      </c>
      <c r="J17" s="40"/>
      <c r="K17" s="39"/>
      <c r="L17" s="39"/>
      <c r="M17" s="41"/>
      <c r="N17" s="39"/>
      <c r="O17" s="39"/>
      <c r="P17" s="39"/>
      <c r="Q17" s="39"/>
      <c r="R17" s="39"/>
      <c r="S17" s="39"/>
      <c r="T17" s="41"/>
      <c r="U17" s="39"/>
      <c r="V17" s="39"/>
      <c r="W17" s="39"/>
      <c r="X17" s="39"/>
      <c r="Y17" s="39"/>
      <c r="Z17" s="39"/>
      <c r="AA17" s="41"/>
      <c r="AB17" s="39"/>
      <c r="AC17" s="39"/>
      <c r="AD17" s="39"/>
      <c r="AE17" s="39"/>
      <c r="AF17" s="39"/>
      <c r="AG17" s="39"/>
      <c r="AH17" s="41"/>
      <c r="AI17" s="39"/>
      <c r="AJ17" s="39"/>
      <c r="AK17" s="39"/>
      <c r="AL17" s="39"/>
      <c r="AM17" s="39"/>
      <c r="AN17" s="42"/>
      <c r="AO17" s="43"/>
      <c r="AP17" s="39"/>
      <c r="AQ17" s="39"/>
      <c r="AR17" s="39"/>
      <c r="AS17" s="39"/>
      <c r="AT17" s="39"/>
      <c r="AU17" s="39"/>
      <c r="AV17" s="41"/>
      <c r="AW17" s="39"/>
      <c r="AX17" s="39"/>
      <c r="AY17" s="39"/>
      <c r="AZ17" s="39"/>
      <c r="BA17" s="39"/>
      <c r="BB17" s="39"/>
      <c r="BC17" s="41"/>
      <c r="BD17" s="39"/>
      <c r="BE17" s="39"/>
      <c r="BF17" s="39"/>
      <c r="BG17" s="39"/>
      <c r="BH17" s="39"/>
      <c r="BI17" s="39"/>
      <c r="BJ17" s="41"/>
      <c r="BK17" s="39"/>
      <c r="BL17" s="39"/>
      <c r="BM17" s="39"/>
      <c r="BN17" s="39"/>
      <c r="BO17" s="39"/>
      <c r="BP17" s="42"/>
      <c r="BQ17" s="43"/>
      <c r="BR17" s="39"/>
      <c r="BS17" s="39"/>
      <c r="BT17" s="39"/>
      <c r="BU17" s="39"/>
      <c r="BV17" s="39"/>
      <c r="BW17" s="39"/>
      <c r="BX17" s="41"/>
      <c r="BY17" s="39"/>
      <c r="BZ17" s="39"/>
      <c r="CA17" s="39"/>
      <c r="CB17" s="39"/>
      <c r="CC17" s="39"/>
      <c r="CD17" s="39"/>
      <c r="CE17" s="41"/>
      <c r="CF17" s="39"/>
      <c r="CG17" s="39"/>
      <c r="CH17" s="39"/>
      <c r="CI17" s="39"/>
      <c r="CJ17" s="40"/>
      <c r="CK17" s="39"/>
      <c r="CL17" s="41"/>
      <c r="CM17" s="39"/>
      <c r="CN17" s="39"/>
      <c r="CO17" s="39"/>
      <c r="CP17" s="39"/>
      <c r="CQ17" s="39"/>
      <c r="CR17" s="39"/>
      <c r="CS17" s="41"/>
      <c r="CT17" s="39"/>
      <c r="CU17" s="42"/>
      <c r="CV17" s="44"/>
      <c r="CW17" s="39"/>
      <c r="CX17" s="40"/>
      <c r="CY17" s="39"/>
      <c r="CZ17" s="40"/>
      <c r="DA17" s="40"/>
      <c r="DB17" s="39"/>
      <c r="DC17" s="39"/>
      <c r="DD17" s="39"/>
      <c r="DE17" s="39"/>
      <c r="DF17" s="39"/>
      <c r="DG17" s="41"/>
      <c r="DH17" s="39"/>
      <c r="DI17" s="39"/>
      <c r="DJ17" s="39"/>
      <c r="DK17" s="39"/>
      <c r="DL17" s="39"/>
      <c r="DM17" s="39"/>
      <c r="DN17" s="41"/>
      <c r="DO17" s="39"/>
      <c r="DP17" s="39"/>
      <c r="DQ17" s="39"/>
      <c r="DR17" s="39"/>
      <c r="DS17" s="39"/>
      <c r="DT17" s="39"/>
      <c r="DU17" s="41"/>
      <c r="DV17" s="39"/>
      <c r="DW17" s="39"/>
      <c r="DX17" s="39"/>
      <c r="DY17" s="42"/>
      <c r="DZ17" s="45"/>
      <c r="EA17" s="39"/>
      <c r="EB17" s="41"/>
      <c r="EC17" s="39"/>
      <c r="ED17" s="39"/>
      <c r="EE17" s="39"/>
      <c r="EF17" s="39"/>
      <c r="EG17" s="39"/>
      <c r="EH17" s="39"/>
      <c r="EI17" s="41"/>
      <c r="EJ17" s="39"/>
      <c r="EK17" s="39"/>
      <c r="EL17" s="39"/>
      <c r="EM17" s="39"/>
      <c r="EN17" s="39"/>
      <c r="EO17" s="39"/>
      <c r="EP17" s="41"/>
      <c r="EQ17" s="39"/>
      <c r="ER17" s="39"/>
      <c r="ES17" s="39"/>
      <c r="ET17" s="39"/>
      <c r="EU17" s="39"/>
      <c r="EV17" s="39"/>
      <c r="EW17" s="41"/>
      <c r="EX17" s="39"/>
      <c r="EY17" s="39"/>
      <c r="EZ17" s="40"/>
      <c r="FA17" s="39"/>
      <c r="FB17" s="39"/>
      <c r="FC17" s="39"/>
      <c r="FD17" s="46"/>
      <c r="FE17" s="45"/>
      <c r="FF17" s="39"/>
      <c r="FG17" s="39"/>
      <c r="FH17" s="39"/>
      <c r="FI17" s="39"/>
      <c r="FJ17" s="39"/>
      <c r="FK17" s="41"/>
      <c r="FL17" s="39"/>
      <c r="FM17" s="39"/>
      <c r="FN17" s="39"/>
      <c r="FO17" s="39"/>
      <c r="FP17" s="39"/>
      <c r="FQ17" s="39"/>
      <c r="FR17" s="41"/>
      <c r="FS17" s="39"/>
      <c r="FT17" s="39"/>
      <c r="FU17" s="39"/>
      <c r="FV17" s="39"/>
      <c r="FW17" s="39"/>
      <c r="FX17" s="39"/>
      <c r="FY17" s="41"/>
      <c r="FZ17" s="39"/>
      <c r="GA17" s="39"/>
      <c r="GB17" s="39"/>
      <c r="GC17" s="39"/>
      <c r="GD17" s="39"/>
      <c r="GE17" s="39"/>
      <c r="GF17" s="41"/>
      <c r="GG17" s="39"/>
      <c r="GH17" s="42"/>
      <c r="GI17" s="44"/>
      <c r="GJ17" s="39"/>
      <c r="GK17" s="39"/>
      <c r="GL17" s="39"/>
      <c r="GM17" s="41"/>
      <c r="GN17" s="39"/>
      <c r="GO17" s="39"/>
      <c r="GP17" s="39"/>
      <c r="GQ17" s="39"/>
      <c r="GR17" s="39"/>
      <c r="GS17" s="39"/>
      <c r="GT17" s="41"/>
      <c r="GU17" s="39"/>
      <c r="GV17" s="39"/>
      <c r="GW17" s="39"/>
      <c r="GX17" s="39"/>
      <c r="GY17" s="39"/>
      <c r="GZ17" s="39"/>
      <c r="HA17" s="41"/>
      <c r="HB17" s="39"/>
      <c r="HC17" s="39"/>
      <c r="HD17" s="39"/>
      <c r="HE17" s="39"/>
      <c r="HF17" s="39"/>
      <c r="HG17" s="39"/>
      <c r="HH17" s="41"/>
      <c r="HI17" s="39"/>
      <c r="HJ17" s="39"/>
      <c r="HK17" s="39"/>
      <c r="HL17" s="39"/>
      <c r="HM17" s="42"/>
      <c r="HN17" s="44"/>
      <c r="HO17" s="41"/>
      <c r="HP17" s="39"/>
      <c r="HQ17" s="39"/>
      <c r="HR17" s="39"/>
      <c r="HS17" s="39"/>
      <c r="HT17" s="39"/>
      <c r="HU17" s="39"/>
      <c r="HV17" s="41"/>
      <c r="HW17" s="39"/>
      <c r="HX17" s="39"/>
      <c r="HY17" s="39"/>
      <c r="HZ17" s="39"/>
      <c r="IA17" s="39"/>
      <c r="IB17" s="39"/>
      <c r="IC17" s="41"/>
      <c r="ID17" s="39"/>
      <c r="IE17" s="39"/>
      <c r="IF17" s="39"/>
      <c r="IG17" s="39"/>
      <c r="IH17" s="39"/>
      <c r="II17" s="39"/>
      <c r="IJ17" s="41"/>
      <c r="IK17" s="39"/>
      <c r="IL17" s="39"/>
      <c r="IM17" s="39"/>
      <c r="IN17" s="39"/>
      <c r="IO17" s="39"/>
      <c r="IP17" s="39"/>
      <c r="IQ17" s="41"/>
      <c r="IR17" s="42"/>
      <c r="IS17" s="44"/>
      <c r="IT17" s="39"/>
      <c r="IU17" s="39"/>
      <c r="IV17" s="39"/>
      <c r="IW17" s="39"/>
      <c r="IX17" s="41"/>
      <c r="IY17" s="39"/>
      <c r="IZ17" s="39"/>
      <c r="JA17" s="39"/>
      <c r="JB17" s="39"/>
      <c r="JC17" s="39"/>
      <c r="JD17" s="39"/>
      <c r="JE17" s="41"/>
      <c r="JF17" s="39"/>
      <c r="JG17" s="39"/>
      <c r="JH17" s="39"/>
      <c r="JI17" s="39"/>
      <c r="JJ17" s="39"/>
      <c r="JK17" s="39"/>
      <c r="JL17" s="41"/>
      <c r="JM17" s="39"/>
      <c r="JN17" s="39"/>
      <c r="JO17" s="39"/>
      <c r="JP17" s="39"/>
      <c r="JQ17" s="39"/>
      <c r="JR17" s="39"/>
      <c r="JS17" s="41"/>
      <c r="JT17" s="39"/>
      <c r="JU17" s="39"/>
      <c r="JV17" s="42"/>
      <c r="JW17" s="44"/>
      <c r="JX17" s="39"/>
      <c r="JY17" s="39"/>
      <c r="JZ17" s="41"/>
      <c r="KA17" s="39"/>
      <c r="KB17" s="39"/>
      <c r="KC17" s="39"/>
      <c r="KD17" s="39"/>
      <c r="KE17" s="39"/>
      <c r="KF17" s="40"/>
      <c r="KG17" s="41"/>
      <c r="KH17" s="39"/>
      <c r="KI17" s="39"/>
      <c r="KJ17" s="39"/>
      <c r="KK17" s="39"/>
      <c r="KL17" s="39"/>
      <c r="KM17" s="39"/>
      <c r="KN17" s="41"/>
      <c r="KO17" s="39"/>
      <c r="KP17" s="40"/>
      <c r="KQ17" s="39"/>
      <c r="KR17" s="39"/>
      <c r="KS17" s="39"/>
      <c r="KT17" s="39"/>
      <c r="KU17" s="41"/>
      <c r="KV17" s="39"/>
      <c r="KW17" s="39"/>
      <c r="KX17" s="39"/>
      <c r="KY17" s="39"/>
      <c r="KZ17" s="39"/>
      <c r="LA17" s="42"/>
      <c r="LB17" s="43"/>
      <c r="LC17" s="39"/>
      <c r="LD17" s="39"/>
      <c r="LE17" s="39"/>
      <c r="LF17" s="39"/>
      <c r="LG17" s="39"/>
      <c r="LH17" s="39"/>
      <c r="LI17" s="41"/>
      <c r="LJ17" s="39"/>
      <c r="LK17" s="39"/>
      <c r="LL17" s="39"/>
      <c r="LM17" s="39"/>
      <c r="LN17" s="39"/>
      <c r="LO17" s="39"/>
      <c r="LP17" s="41"/>
      <c r="LQ17" s="39"/>
      <c r="LR17" s="39"/>
      <c r="LS17" s="39"/>
      <c r="LT17" s="39"/>
      <c r="LU17" s="39"/>
      <c r="LV17" s="39"/>
      <c r="LW17" s="41"/>
      <c r="LX17" s="39"/>
      <c r="LY17" s="39"/>
      <c r="LZ17" s="39"/>
      <c r="MA17" s="39"/>
      <c r="MB17" s="39"/>
      <c r="MC17" s="39"/>
      <c r="MD17" s="41"/>
      <c r="ME17" s="42"/>
      <c r="MF17" s="44"/>
      <c r="MG17" s="39"/>
      <c r="MH17" s="39"/>
      <c r="MI17" s="39"/>
      <c r="MJ17" s="39"/>
      <c r="MK17" s="41"/>
      <c r="ML17" s="39"/>
      <c r="MM17" s="39"/>
      <c r="MN17" s="39"/>
      <c r="MO17" s="39"/>
      <c r="MP17" s="39"/>
      <c r="MQ17" s="40"/>
      <c r="MR17" s="41"/>
      <c r="MS17" s="39"/>
      <c r="MT17" s="39"/>
      <c r="MU17" s="39"/>
      <c r="MV17" s="39"/>
      <c r="MW17" s="39"/>
      <c r="MX17" s="39"/>
      <c r="MY17" s="41"/>
      <c r="MZ17" s="39"/>
      <c r="NA17" s="39"/>
      <c r="NB17" s="39"/>
      <c r="NC17" s="39"/>
      <c r="ND17" s="40"/>
      <c r="NE17" s="40"/>
      <c r="NF17" s="41"/>
      <c r="NG17" s="39"/>
      <c r="NH17" s="39"/>
      <c r="NI17" s="39"/>
      <c r="NJ17" s="42"/>
    </row>
    <row r="18" spans="1:374">
      <c r="A18" s="147" t="s">
        <v>123</v>
      </c>
      <c r="B18" s="51" t="s">
        <v>124</v>
      </c>
      <c r="C18" s="51" t="s">
        <v>426</v>
      </c>
      <c r="D18" s="39"/>
      <c r="E18" s="39">
        <v>21</v>
      </c>
      <c r="F18" s="39">
        <f t="shared" si="0"/>
        <v>0</v>
      </c>
      <c r="G18" s="39">
        <f t="shared" si="1"/>
        <v>21</v>
      </c>
      <c r="H18" s="39">
        <f t="shared" si="2"/>
        <v>0</v>
      </c>
      <c r="I18" s="39">
        <f t="shared" si="4"/>
        <v>21</v>
      </c>
      <c r="J18" s="40"/>
      <c r="K18" s="39"/>
      <c r="L18" s="39"/>
      <c r="M18" s="41"/>
      <c r="N18" s="39"/>
      <c r="O18" s="39"/>
      <c r="P18" s="39"/>
      <c r="Q18" s="39"/>
      <c r="R18" s="39"/>
      <c r="S18" s="39"/>
      <c r="T18" s="41"/>
      <c r="U18" s="39"/>
      <c r="V18" s="39"/>
      <c r="W18" s="39"/>
      <c r="X18" s="39"/>
      <c r="Y18" s="39"/>
      <c r="Z18" s="39"/>
      <c r="AA18" s="41"/>
      <c r="AB18" s="39"/>
      <c r="AC18" s="39"/>
      <c r="AD18" s="39"/>
      <c r="AE18" s="39"/>
      <c r="AF18" s="39"/>
      <c r="AG18" s="39"/>
      <c r="AH18" s="41"/>
      <c r="AI18" s="39"/>
      <c r="AJ18" s="39"/>
      <c r="AK18" s="39"/>
      <c r="AL18" s="39"/>
      <c r="AM18" s="39"/>
      <c r="AN18" s="42"/>
      <c r="AO18" s="43"/>
      <c r="AP18" s="39"/>
      <c r="AQ18" s="39"/>
      <c r="AR18" s="39"/>
      <c r="AS18" s="39"/>
      <c r="AT18" s="39"/>
      <c r="AU18" s="39"/>
      <c r="AV18" s="41"/>
      <c r="AW18" s="39"/>
      <c r="AX18" s="39"/>
      <c r="AY18" s="39"/>
      <c r="AZ18" s="39"/>
      <c r="BA18" s="39"/>
      <c r="BB18" s="39"/>
      <c r="BC18" s="41"/>
      <c r="BD18" s="39"/>
      <c r="BE18" s="39"/>
      <c r="BF18" s="39"/>
      <c r="BG18" s="39"/>
      <c r="BH18" s="39"/>
      <c r="BI18" s="39"/>
      <c r="BJ18" s="41"/>
      <c r="BK18" s="39"/>
      <c r="BL18" s="39"/>
      <c r="BM18" s="39"/>
      <c r="BN18" s="39"/>
      <c r="BO18" s="39"/>
      <c r="BP18" s="42"/>
      <c r="BQ18" s="43"/>
      <c r="BR18" s="39"/>
      <c r="BS18" s="39"/>
      <c r="BT18" s="39"/>
      <c r="BU18" s="39"/>
      <c r="BV18" s="39"/>
      <c r="BW18" s="39"/>
      <c r="BX18" s="41"/>
      <c r="BY18" s="39"/>
      <c r="BZ18" s="39"/>
      <c r="CA18" s="39"/>
      <c r="CB18" s="39"/>
      <c r="CC18" s="39"/>
      <c r="CD18" s="39"/>
      <c r="CE18" s="41"/>
      <c r="CF18" s="39"/>
      <c r="CG18" s="39"/>
      <c r="CH18" s="39"/>
      <c r="CI18" s="39"/>
      <c r="CJ18" s="40"/>
      <c r="CK18" s="39"/>
      <c r="CL18" s="41"/>
      <c r="CM18" s="39"/>
      <c r="CN18" s="39"/>
      <c r="CO18" s="39"/>
      <c r="CP18" s="39"/>
      <c r="CQ18" s="39"/>
      <c r="CR18" s="39"/>
      <c r="CS18" s="41"/>
      <c r="CT18" s="39"/>
      <c r="CU18" s="42"/>
      <c r="CV18" s="44"/>
      <c r="CW18" s="39"/>
      <c r="CX18" s="40"/>
      <c r="CY18" s="39"/>
      <c r="CZ18" s="40"/>
      <c r="DA18" s="40"/>
      <c r="DB18" s="39"/>
      <c r="DC18" s="39"/>
      <c r="DD18" s="39"/>
      <c r="DE18" s="39"/>
      <c r="DF18" s="39"/>
      <c r="DG18" s="41"/>
      <c r="DH18" s="39"/>
      <c r="DI18" s="39"/>
      <c r="DJ18" s="39"/>
      <c r="DK18" s="39"/>
      <c r="DL18" s="39"/>
      <c r="DM18" s="39"/>
      <c r="DN18" s="41"/>
      <c r="DO18" s="39"/>
      <c r="DP18" s="39"/>
      <c r="DQ18" s="39"/>
      <c r="DR18" s="39"/>
      <c r="DS18" s="39"/>
      <c r="DT18" s="39"/>
      <c r="DU18" s="41"/>
      <c r="DV18" s="39"/>
      <c r="DW18" s="39"/>
      <c r="DX18" s="39"/>
      <c r="DY18" s="42"/>
      <c r="DZ18" s="45"/>
      <c r="EA18" s="39"/>
      <c r="EB18" s="41"/>
      <c r="EC18" s="39"/>
      <c r="ED18" s="39"/>
      <c r="EE18" s="39"/>
      <c r="EF18" s="39"/>
      <c r="EG18" s="39"/>
      <c r="EH18" s="39"/>
      <c r="EI18" s="41"/>
      <c r="EJ18" s="39"/>
      <c r="EK18" s="39"/>
      <c r="EL18" s="39"/>
      <c r="EM18" s="39"/>
      <c r="EN18" s="39"/>
      <c r="EO18" s="39"/>
      <c r="EP18" s="41"/>
      <c r="EQ18" s="39"/>
      <c r="ER18" s="39"/>
      <c r="ES18" s="39"/>
      <c r="ET18" s="39"/>
      <c r="EU18" s="39"/>
      <c r="EV18" s="39"/>
      <c r="EW18" s="41"/>
      <c r="EX18" s="39"/>
      <c r="EY18" s="39"/>
      <c r="EZ18" s="40"/>
      <c r="FA18" s="39"/>
      <c r="FB18" s="39"/>
      <c r="FC18" s="39"/>
      <c r="FD18" s="46"/>
      <c r="FE18" s="45"/>
      <c r="FF18" s="39"/>
      <c r="FG18" s="39"/>
      <c r="FH18" s="39"/>
      <c r="FI18" s="39"/>
      <c r="FJ18" s="39"/>
      <c r="FK18" s="41"/>
      <c r="FL18" s="39"/>
      <c r="FM18" s="39"/>
      <c r="FN18" s="39"/>
      <c r="FO18" s="39"/>
      <c r="FP18" s="39"/>
      <c r="FQ18" s="39"/>
      <c r="FR18" s="41"/>
      <c r="FS18" s="39"/>
      <c r="FT18" s="39"/>
      <c r="FU18" s="39"/>
      <c r="FV18" s="39"/>
      <c r="FW18" s="39"/>
      <c r="FX18" s="39"/>
      <c r="FY18" s="41"/>
      <c r="FZ18" s="39"/>
      <c r="GA18" s="39"/>
      <c r="GB18" s="39"/>
      <c r="GC18" s="39"/>
      <c r="GD18" s="39"/>
      <c r="GE18" s="39"/>
      <c r="GF18" s="41"/>
      <c r="GG18" s="39"/>
      <c r="GH18" s="42"/>
      <c r="GI18" s="44"/>
      <c r="GJ18" s="39"/>
      <c r="GK18" s="39"/>
      <c r="GL18" s="39"/>
      <c r="GM18" s="41"/>
      <c r="GN18" s="39"/>
      <c r="GO18" s="39"/>
      <c r="GP18" s="39"/>
      <c r="GQ18" s="39"/>
      <c r="GR18" s="39"/>
      <c r="GS18" s="39"/>
      <c r="GT18" s="41"/>
      <c r="GU18" s="39"/>
      <c r="GV18" s="39"/>
      <c r="GW18" s="39"/>
      <c r="GX18" s="39"/>
      <c r="GY18" s="39"/>
      <c r="GZ18" s="39"/>
      <c r="HA18" s="41"/>
      <c r="HB18" s="39"/>
      <c r="HC18" s="39"/>
      <c r="HD18" s="39"/>
      <c r="HE18" s="39"/>
      <c r="HF18" s="39"/>
      <c r="HG18" s="39"/>
      <c r="HH18" s="41"/>
      <c r="HI18" s="39"/>
      <c r="HJ18" s="39"/>
      <c r="HK18" s="39"/>
      <c r="HL18" s="39"/>
      <c r="HM18" s="42"/>
      <c r="HN18" s="44"/>
      <c r="HO18" s="41"/>
      <c r="HP18" s="39"/>
      <c r="HQ18" s="39"/>
      <c r="HR18" s="39"/>
      <c r="HS18" s="39"/>
      <c r="HT18" s="39"/>
      <c r="HU18" s="39"/>
      <c r="HV18" s="41"/>
      <c r="HW18" s="39"/>
      <c r="HX18" s="39"/>
      <c r="HY18" s="39"/>
      <c r="HZ18" s="39"/>
      <c r="IA18" s="39"/>
      <c r="IB18" s="39"/>
      <c r="IC18" s="41"/>
      <c r="ID18" s="39"/>
      <c r="IE18" s="39"/>
      <c r="IF18" s="39"/>
      <c r="IG18" s="39"/>
      <c r="IH18" s="39"/>
      <c r="II18" s="39"/>
      <c r="IJ18" s="41"/>
      <c r="IK18" s="39"/>
      <c r="IL18" s="39"/>
      <c r="IM18" s="39"/>
      <c r="IN18" s="39"/>
      <c r="IO18" s="39"/>
      <c r="IP18" s="39"/>
      <c r="IQ18" s="41"/>
      <c r="IR18" s="42"/>
      <c r="IS18" s="44"/>
      <c r="IT18" s="39"/>
      <c r="IU18" s="39"/>
      <c r="IV18" s="39"/>
      <c r="IW18" s="39"/>
      <c r="IX18" s="41"/>
      <c r="IY18" s="39"/>
      <c r="IZ18" s="39"/>
      <c r="JA18" s="39"/>
      <c r="JB18" s="39"/>
      <c r="JC18" s="39"/>
      <c r="JD18" s="39"/>
      <c r="JE18" s="41"/>
      <c r="JF18" s="39"/>
      <c r="JG18" s="39"/>
      <c r="JH18" s="39"/>
      <c r="JI18" s="39"/>
      <c r="JJ18" s="39"/>
      <c r="JK18" s="39"/>
      <c r="JL18" s="41"/>
      <c r="JM18" s="39"/>
      <c r="JN18" s="39"/>
      <c r="JO18" s="39"/>
      <c r="JP18" s="39"/>
      <c r="JQ18" s="39"/>
      <c r="JR18" s="39"/>
      <c r="JS18" s="41"/>
      <c r="JT18" s="39"/>
      <c r="JU18" s="39"/>
      <c r="JV18" s="42"/>
      <c r="JW18" s="44"/>
      <c r="JX18" s="39"/>
      <c r="JY18" s="39"/>
      <c r="JZ18" s="41"/>
      <c r="KA18" s="39"/>
      <c r="KB18" s="39"/>
      <c r="KC18" s="39"/>
      <c r="KD18" s="39"/>
      <c r="KE18" s="39"/>
      <c r="KF18" s="40"/>
      <c r="KG18" s="41"/>
      <c r="KH18" s="39"/>
      <c r="KI18" s="39"/>
      <c r="KJ18" s="39"/>
      <c r="KK18" s="39"/>
      <c r="KL18" s="39"/>
      <c r="KM18" s="39"/>
      <c r="KN18" s="41"/>
      <c r="KO18" s="39"/>
      <c r="KP18" s="40"/>
      <c r="KQ18" s="39"/>
      <c r="KR18" s="39"/>
      <c r="KS18" s="39"/>
      <c r="KT18" s="39"/>
      <c r="KU18" s="41"/>
      <c r="KV18" s="39"/>
      <c r="KW18" s="39"/>
      <c r="KX18" s="39"/>
      <c r="KY18" s="39"/>
      <c r="KZ18" s="39"/>
      <c r="LA18" s="42"/>
      <c r="LB18" s="43"/>
      <c r="LC18" s="39"/>
      <c r="LD18" s="39"/>
      <c r="LE18" s="39"/>
      <c r="LF18" s="39"/>
      <c r="LG18" s="39"/>
      <c r="LH18" s="39"/>
      <c r="LI18" s="41"/>
      <c r="LJ18" s="39"/>
      <c r="LK18" s="39"/>
      <c r="LL18" s="39"/>
      <c r="LM18" s="39"/>
      <c r="LN18" s="39"/>
      <c r="LO18" s="39"/>
      <c r="LP18" s="41"/>
      <c r="LQ18" s="39"/>
      <c r="LR18" s="39"/>
      <c r="LS18" s="39"/>
      <c r="LT18" s="39"/>
      <c r="LU18" s="39"/>
      <c r="LV18" s="39"/>
      <c r="LW18" s="41"/>
      <c r="LX18" s="39"/>
      <c r="LY18" s="39"/>
      <c r="LZ18" s="39"/>
      <c r="MA18" s="39"/>
      <c r="MB18" s="39"/>
      <c r="MC18" s="39"/>
      <c r="MD18" s="41"/>
      <c r="ME18" s="42"/>
      <c r="MF18" s="44"/>
      <c r="MG18" s="39"/>
      <c r="MH18" s="39"/>
      <c r="MI18" s="39"/>
      <c r="MJ18" s="39"/>
      <c r="MK18" s="41"/>
      <c r="ML18" s="39"/>
      <c r="MM18" s="39"/>
      <c r="MN18" s="39"/>
      <c r="MO18" s="39"/>
      <c r="MP18" s="39"/>
      <c r="MQ18" s="40"/>
      <c r="MR18" s="41"/>
      <c r="MS18" s="39"/>
      <c r="MT18" s="39"/>
      <c r="MU18" s="39"/>
      <c r="MV18" s="39"/>
      <c r="MW18" s="39"/>
      <c r="MX18" s="39"/>
      <c r="MY18" s="41"/>
      <c r="MZ18" s="39"/>
      <c r="NA18" s="39"/>
      <c r="NB18" s="39"/>
      <c r="NC18" s="39"/>
      <c r="ND18" s="40"/>
      <c r="NE18" s="40"/>
      <c r="NF18" s="41"/>
      <c r="NG18" s="39"/>
      <c r="NH18" s="39"/>
      <c r="NI18" s="39"/>
      <c r="NJ18" s="42"/>
    </row>
    <row r="19" spans="1:374">
      <c r="A19" s="145" t="s">
        <v>132</v>
      </c>
      <c r="B19" s="38" t="s">
        <v>40</v>
      </c>
      <c r="C19" s="38" t="s">
        <v>427</v>
      </c>
      <c r="D19" s="39"/>
      <c r="E19" s="39">
        <v>21</v>
      </c>
      <c r="F19" s="39">
        <f t="shared" si="0"/>
        <v>0</v>
      </c>
      <c r="G19" s="39">
        <f t="shared" si="1"/>
        <v>21</v>
      </c>
      <c r="H19" s="39">
        <f t="shared" si="2"/>
        <v>0</v>
      </c>
      <c r="I19" s="39">
        <f t="shared" si="4"/>
        <v>21</v>
      </c>
      <c r="J19" s="40"/>
      <c r="K19" s="39"/>
      <c r="L19" s="39"/>
      <c r="M19" s="41"/>
      <c r="N19" s="39"/>
      <c r="O19" s="39"/>
      <c r="P19" s="39"/>
      <c r="Q19" s="39"/>
      <c r="R19" s="39"/>
      <c r="S19" s="39"/>
      <c r="T19" s="41"/>
      <c r="U19" s="39"/>
      <c r="V19" s="39"/>
      <c r="W19" s="39"/>
      <c r="X19" s="39"/>
      <c r="Y19" s="39"/>
      <c r="Z19" s="39"/>
      <c r="AA19" s="41"/>
      <c r="AB19" s="39"/>
      <c r="AC19" s="39"/>
      <c r="AD19" s="39"/>
      <c r="AE19" s="39"/>
      <c r="AF19" s="39"/>
      <c r="AG19" s="39"/>
      <c r="AH19" s="41"/>
      <c r="AI19" s="39"/>
      <c r="AJ19" s="39"/>
      <c r="AK19" s="39"/>
      <c r="AL19" s="39"/>
      <c r="AM19" s="39"/>
      <c r="AN19" s="42"/>
      <c r="AO19" s="43"/>
      <c r="AP19" s="39"/>
      <c r="AQ19" s="39"/>
      <c r="AR19" s="39"/>
      <c r="AS19" s="39"/>
      <c r="AT19" s="39"/>
      <c r="AU19" s="39"/>
      <c r="AV19" s="41"/>
      <c r="AW19" s="39"/>
      <c r="AX19" s="39"/>
      <c r="AY19" s="39"/>
      <c r="AZ19" s="39"/>
      <c r="BA19" s="39"/>
      <c r="BB19" s="39"/>
      <c r="BC19" s="41"/>
      <c r="BD19" s="39"/>
      <c r="BE19" s="39"/>
      <c r="BF19" s="39"/>
      <c r="BG19" s="39"/>
      <c r="BH19" s="39"/>
      <c r="BI19" s="39"/>
      <c r="BJ19" s="41"/>
      <c r="BK19" s="39"/>
      <c r="BL19" s="39"/>
      <c r="BM19" s="39"/>
      <c r="BN19" s="39"/>
      <c r="BO19" s="39"/>
      <c r="BP19" s="42"/>
      <c r="BQ19" s="43"/>
      <c r="BR19" s="39"/>
      <c r="BS19" s="39"/>
      <c r="BT19" s="39"/>
      <c r="BU19" s="39"/>
      <c r="BV19" s="39"/>
      <c r="BW19" s="39"/>
      <c r="BX19" s="41"/>
      <c r="BY19" s="39"/>
      <c r="BZ19" s="39"/>
      <c r="CA19" s="39"/>
      <c r="CB19" s="39"/>
      <c r="CC19" s="39"/>
      <c r="CD19" s="39"/>
      <c r="CE19" s="41"/>
      <c r="CF19" s="39"/>
      <c r="CG19" s="39"/>
      <c r="CH19" s="39"/>
      <c r="CI19" s="39"/>
      <c r="CJ19" s="40"/>
      <c r="CK19" s="39"/>
      <c r="CL19" s="41"/>
      <c r="CM19" s="39"/>
      <c r="CN19" s="39"/>
      <c r="CO19" s="39"/>
      <c r="CP19" s="39"/>
      <c r="CQ19" s="39"/>
      <c r="CR19" s="39"/>
      <c r="CS19" s="41"/>
      <c r="CT19" s="39"/>
      <c r="CU19" s="42"/>
      <c r="CV19" s="44"/>
      <c r="CW19" s="39"/>
      <c r="CX19" s="40"/>
      <c r="CY19" s="39"/>
      <c r="CZ19" s="40"/>
      <c r="DA19" s="40"/>
      <c r="DB19" s="39"/>
      <c r="DC19" s="39"/>
      <c r="DD19" s="39"/>
      <c r="DE19" s="39"/>
      <c r="DF19" s="39"/>
      <c r="DG19" s="41"/>
      <c r="DH19" s="39"/>
      <c r="DI19" s="39"/>
      <c r="DJ19" s="39"/>
      <c r="DK19" s="39"/>
      <c r="DL19" s="39"/>
      <c r="DM19" s="39"/>
      <c r="DN19" s="41"/>
      <c r="DO19" s="39"/>
      <c r="DP19" s="39"/>
      <c r="DQ19" s="39"/>
      <c r="DR19" s="39"/>
      <c r="DS19" s="39"/>
      <c r="DT19" s="39"/>
      <c r="DU19" s="41"/>
      <c r="DV19" s="39"/>
      <c r="DW19" s="39"/>
      <c r="DX19" s="39"/>
      <c r="DY19" s="42"/>
      <c r="DZ19" s="45"/>
      <c r="EA19" s="39"/>
      <c r="EB19" s="41"/>
      <c r="EC19" s="39"/>
      <c r="ED19" s="39"/>
      <c r="EE19" s="39"/>
      <c r="EF19" s="39"/>
      <c r="EG19" s="39"/>
      <c r="EH19" s="39"/>
      <c r="EI19" s="41"/>
      <c r="EJ19" s="39"/>
      <c r="EK19" s="39"/>
      <c r="EL19" s="39"/>
      <c r="EM19" s="39"/>
      <c r="EN19" s="39"/>
      <c r="EO19" s="39"/>
      <c r="EP19" s="41"/>
      <c r="EQ19" s="39"/>
      <c r="ER19" s="39"/>
      <c r="ES19" s="39"/>
      <c r="ET19" s="39"/>
      <c r="EU19" s="39"/>
      <c r="EV19" s="39"/>
      <c r="EW19" s="41"/>
      <c r="EX19" s="39"/>
      <c r="EY19" s="39"/>
      <c r="EZ19" s="40"/>
      <c r="FA19" s="39"/>
      <c r="FB19" s="39"/>
      <c r="FC19" s="39"/>
      <c r="FD19" s="46"/>
      <c r="FE19" s="45"/>
      <c r="FF19" s="39"/>
      <c r="FG19" s="39"/>
      <c r="FH19" s="39"/>
      <c r="FI19" s="39"/>
      <c r="FJ19" s="39"/>
      <c r="FK19" s="41"/>
      <c r="FL19" s="39"/>
      <c r="FM19" s="39"/>
      <c r="FN19" s="39"/>
      <c r="FO19" s="39"/>
      <c r="FP19" s="39"/>
      <c r="FQ19" s="39"/>
      <c r="FR19" s="41"/>
      <c r="FS19" s="39"/>
      <c r="FT19" s="39"/>
      <c r="FU19" s="39"/>
      <c r="FV19" s="39"/>
      <c r="FW19" s="39"/>
      <c r="FX19" s="39"/>
      <c r="FY19" s="41"/>
      <c r="FZ19" s="39"/>
      <c r="GA19" s="39"/>
      <c r="GB19" s="39"/>
      <c r="GC19" s="39"/>
      <c r="GD19" s="39"/>
      <c r="GE19" s="39"/>
      <c r="GF19" s="41"/>
      <c r="GG19" s="39"/>
      <c r="GH19" s="42"/>
      <c r="GI19" s="44"/>
      <c r="GJ19" s="39"/>
      <c r="GK19" s="39"/>
      <c r="GL19" s="39"/>
      <c r="GM19" s="41"/>
      <c r="GN19" s="39"/>
      <c r="GO19" s="39"/>
      <c r="GP19" s="39"/>
      <c r="GQ19" s="39"/>
      <c r="GR19" s="39"/>
      <c r="GS19" s="39"/>
      <c r="GT19" s="41"/>
      <c r="GU19" s="39"/>
      <c r="GV19" s="39"/>
      <c r="GW19" s="39"/>
      <c r="GX19" s="39"/>
      <c r="GY19" s="39"/>
      <c r="GZ19" s="39"/>
      <c r="HA19" s="41"/>
      <c r="HB19" s="39"/>
      <c r="HC19" s="39"/>
      <c r="HD19" s="39"/>
      <c r="HE19" s="39"/>
      <c r="HF19" s="39"/>
      <c r="HG19" s="39"/>
      <c r="HH19" s="41"/>
      <c r="HI19" s="39"/>
      <c r="HJ19" s="39"/>
      <c r="HK19" s="39"/>
      <c r="HL19" s="39"/>
      <c r="HM19" s="42"/>
      <c r="HN19" s="44"/>
      <c r="HO19" s="41"/>
      <c r="HP19" s="39"/>
      <c r="HQ19" s="39"/>
      <c r="HR19" s="39"/>
      <c r="HS19" s="39"/>
      <c r="HT19" s="39"/>
      <c r="HU19" s="39"/>
      <c r="HV19" s="41"/>
      <c r="HW19" s="39"/>
      <c r="HX19" s="39"/>
      <c r="HY19" s="39"/>
      <c r="HZ19" s="39"/>
      <c r="IA19" s="39"/>
      <c r="IB19" s="39"/>
      <c r="IC19" s="41"/>
      <c r="ID19" s="39"/>
      <c r="IE19" s="39"/>
      <c r="IF19" s="39"/>
      <c r="IG19" s="39"/>
      <c r="IH19" s="39"/>
      <c r="II19" s="39"/>
      <c r="IJ19" s="41"/>
      <c r="IK19" s="39"/>
      <c r="IL19" s="39"/>
      <c r="IM19" s="39"/>
      <c r="IN19" s="39"/>
      <c r="IO19" s="39"/>
      <c r="IP19" s="39"/>
      <c r="IQ19" s="41"/>
      <c r="IR19" s="42"/>
      <c r="IS19" s="44"/>
      <c r="IT19" s="39"/>
      <c r="IU19" s="39"/>
      <c r="IV19" s="39"/>
      <c r="IW19" s="39"/>
      <c r="IX19" s="41"/>
      <c r="IY19" s="39"/>
      <c r="IZ19" s="39"/>
      <c r="JA19" s="39"/>
      <c r="JB19" s="39"/>
      <c r="JC19" s="39"/>
      <c r="JD19" s="39"/>
      <c r="JE19" s="41"/>
      <c r="JF19" s="39"/>
      <c r="JG19" s="39"/>
      <c r="JH19" s="39"/>
      <c r="JI19" s="39"/>
      <c r="JJ19" s="39"/>
      <c r="JK19" s="39"/>
      <c r="JL19" s="41"/>
      <c r="JM19" s="39"/>
      <c r="JN19" s="39"/>
      <c r="JO19" s="39"/>
      <c r="JP19" s="39"/>
      <c r="JQ19" s="39"/>
      <c r="JR19" s="39"/>
      <c r="JS19" s="41"/>
      <c r="JT19" s="39"/>
      <c r="JU19" s="39"/>
      <c r="JV19" s="42"/>
      <c r="JW19" s="44"/>
      <c r="JX19" s="39"/>
      <c r="JY19" s="39"/>
      <c r="JZ19" s="41"/>
      <c r="KA19" s="39"/>
      <c r="KB19" s="39"/>
      <c r="KC19" s="39"/>
      <c r="KD19" s="39"/>
      <c r="KE19" s="39"/>
      <c r="KF19" s="40"/>
      <c r="KG19" s="41"/>
      <c r="KH19" s="39"/>
      <c r="KI19" s="39"/>
      <c r="KJ19" s="39"/>
      <c r="KK19" s="39"/>
      <c r="KL19" s="39"/>
      <c r="KM19" s="39"/>
      <c r="KN19" s="41"/>
      <c r="KO19" s="39"/>
      <c r="KP19" s="40"/>
      <c r="KQ19" s="39"/>
      <c r="KR19" s="39"/>
      <c r="KS19" s="39"/>
      <c r="KT19" s="39"/>
      <c r="KU19" s="41"/>
      <c r="KV19" s="39"/>
      <c r="KW19" s="39"/>
      <c r="KX19" s="39"/>
      <c r="KY19" s="39"/>
      <c r="KZ19" s="39"/>
      <c r="LA19" s="42"/>
      <c r="LB19" s="43"/>
      <c r="LC19" s="39"/>
      <c r="LD19" s="39"/>
      <c r="LE19" s="39"/>
      <c r="LF19" s="39"/>
      <c r="LG19" s="39"/>
      <c r="LH19" s="39"/>
      <c r="LI19" s="41"/>
      <c r="LJ19" s="39"/>
      <c r="LK19" s="39"/>
      <c r="LL19" s="39"/>
      <c r="LM19" s="39"/>
      <c r="LN19" s="39"/>
      <c r="LO19" s="39"/>
      <c r="LP19" s="41"/>
      <c r="LQ19" s="39"/>
      <c r="LR19" s="39"/>
      <c r="LS19" s="39"/>
      <c r="LT19" s="39"/>
      <c r="LU19" s="39"/>
      <c r="LV19" s="39"/>
      <c r="LW19" s="41"/>
      <c r="LX19" s="39"/>
      <c r="LY19" s="39"/>
      <c r="LZ19" s="39"/>
      <c r="MA19" s="39"/>
      <c r="MB19" s="39"/>
      <c r="MC19" s="39"/>
      <c r="MD19" s="41"/>
      <c r="ME19" s="42"/>
      <c r="MF19" s="44"/>
      <c r="MG19" s="39"/>
      <c r="MH19" s="39"/>
      <c r="MI19" s="39"/>
      <c r="MJ19" s="39"/>
      <c r="MK19" s="41"/>
      <c r="ML19" s="39"/>
      <c r="MM19" s="39"/>
      <c r="MN19" s="39"/>
      <c r="MO19" s="39"/>
      <c r="MP19" s="39"/>
      <c r="MQ19" s="40"/>
      <c r="MR19" s="41"/>
      <c r="MS19" s="39"/>
      <c r="MT19" s="39"/>
      <c r="MU19" s="39"/>
      <c r="MV19" s="39"/>
      <c r="MW19" s="39"/>
      <c r="MX19" s="39"/>
      <c r="MY19" s="41"/>
      <c r="MZ19" s="39"/>
      <c r="NA19" s="39"/>
      <c r="NB19" s="39"/>
      <c r="NC19" s="39"/>
      <c r="ND19" s="40"/>
      <c r="NE19" s="40"/>
      <c r="NF19" s="41"/>
      <c r="NG19" s="39"/>
      <c r="NH19" s="39"/>
      <c r="NI19" s="39"/>
      <c r="NJ19" s="42"/>
    </row>
    <row r="20" spans="1:374">
      <c r="A20" s="145" t="s">
        <v>134</v>
      </c>
      <c r="B20" s="38" t="s">
        <v>428</v>
      </c>
      <c r="C20" s="38" t="s">
        <v>427</v>
      </c>
      <c r="D20" s="39">
        <v>5</v>
      </c>
      <c r="E20" s="39">
        <v>21</v>
      </c>
      <c r="F20" s="39">
        <f t="shared" si="0"/>
        <v>0</v>
      </c>
      <c r="G20" s="39">
        <f t="shared" si="1"/>
        <v>26</v>
      </c>
      <c r="H20" s="39">
        <f t="shared" si="2"/>
        <v>5</v>
      </c>
      <c r="I20" s="39">
        <f t="shared" si="4"/>
        <v>21</v>
      </c>
      <c r="J20" s="40"/>
      <c r="K20" s="39"/>
      <c r="L20" s="39"/>
      <c r="M20" s="41"/>
      <c r="N20" s="39"/>
      <c r="O20" s="39"/>
      <c r="P20" s="39"/>
      <c r="Q20" s="39"/>
      <c r="R20" s="39"/>
      <c r="S20" s="39"/>
      <c r="T20" s="41"/>
      <c r="U20" s="39"/>
      <c r="V20" s="39"/>
      <c r="W20" s="39"/>
      <c r="X20" s="39"/>
      <c r="Y20" s="39"/>
      <c r="Z20" s="39"/>
      <c r="AA20" s="41"/>
      <c r="AB20" s="39"/>
      <c r="AC20" s="39"/>
      <c r="AD20" s="39"/>
      <c r="AE20" s="39"/>
      <c r="AF20" s="39"/>
      <c r="AG20" s="39"/>
      <c r="AH20" s="41"/>
      <c r="AI20" s="39"/>
      <c r="AJ20" s="39"/>
      <c r="AK20" s="39"/>
      <c r="AL20" s="39"/>
      <c r="AM20" s="39"/>
      <c r="AN20" s="42"/>
      <c r="AO20" s="43"/>
      <c r="AP20" s="39"/>
      <c r="AQ20" s="39"/>
      <c r="AR20" s="39"/>
      <c r="AS20" s="39"/>
      <c r="AT20" s="39"/>
      <c r="AU20" s="39"/>
      <c r="AV20" s="41"/>
      <c r="AW20" s="39"/>
      <c r="AX20" s="39"/>
      <c r="AY20" s="39"/>
      <c r="AZ20" s="39"/>
      <c r="BA20" s="39"/>
      <c r="BB20" s="39"/>
      <c r="BC20" s="41"/>
      <c r="BD20" s="39"/>
      <c r="BE20" s="39"/>
      <c r="BF20" s="39"/>
      <c r="BG20" s="39"/>
      <c r="BH20" s="39"/>
      <c r="BI20" s="39"/>
      <c r="BJ20" s="41"/>
      <c r="BK20" s="39"/>
      <c r="BL20" s="39"/>
      <c r="BM20" s="39"/>
      <c r="BN20" s="39"/>
      <c r="BO20" s="39"/>
      <c r="BP20" s="42"/>
      <c r="BQ20" s="43"/>
      <c r="BR20" s="39"/>
      <c r="BS20" s="39"/>
      <c r="BT20" s="39"/>
      <c r="BU20" s="39"/>
      <c r="BV20" s="39"/>
      <c r="BW20" s="39"/>
      <c r="BX20" s="41"/>
      <c r="BY20" s="39"/>
      <c r="BZ20" s="39"/>
      <c r="CA20" s="39"/>
      <c r="CB20" s="39"/>
      <c r="CC20" s="39"/>
      <c r="CD20" s="39"/>
      <c r="CE20" s="41"/>
      <c r="CF20" s="39"/>
      <c r="CG20" s="39"/>
      <c r="CH20" s="39"/>
      <c r="CI20" s="39"/>
      <c r="CJ20" s="40"/>
      <c r="CK20" s="39"/>
      <c r="CL20" s="41"/>
      <c r="CM20" s="39"/>
      <c r="CN20" s="39"/>
      <c r="CO20" s="39"/>
      <c r="CP20" s="39"/>
      <c r="CQ20" s="39"/>
      <c r="CR20" s="39"/>
      <c r="CS20" s="41"/>
      <c r="CT20" s="39"/>
      <c r="CU20" s="42"/>
      <c r="CV20" s="44"/>
      <c r="CW20" s="39"/>
      <c r="CX20" s="40"/>
      <c r="CY20" s="39"/>
      <c r="CZ20" s="40"/>
      <c r="DA20" s="40"/>
      <c r="DB20" s="39"/>
      <c r="DC20" s="39"/>
      <c r="DD20" s="39"/>
      <c r="DE20" s="39"/>
      <c r="DF20" s="39"/>
      <c r="DG20" s="41"/>
      <c r="DH20" s="39">
        <v>1</v>
      </c>
      <c r="DI20" s="39">
        <v>1</v>
      </c>
      <c r="DJ20" s="39">
        <v>1</v>
      </c>
      <c r="DK20" s="39">
        <v>1</v>
      </c>
      <c r="DL20" s="39">
        <v>1</v>
      </c>
      <c r="DM20" s="39"/>
      <c r="DN20" s="41"/>
      <c r="DO20" s="39"/>
      <c r="DP20" s="39"/>
      <c r="DQ20" s="39"/>
      <c r="DR20" s="39"/>
      <c r="DS20" s="39"/>
      <c r="DT20" s="39"/>
      <c r="DU20" s="41"/>
      <c r="DV20" s="39"/>
      <c r="DW20" s="39"/>
      <c r="DX20" s="39"/>
      <c r="DY20" s="42"/>
      <c r="DZ20" s="45"/>
      <c r="EA20" s="39"/>
      <c r="EB20" s="41"/>
      <c r="EC20" s="39"/>
      <c r="ED20" s="39"/>
      <c r="EE20" s="39"/>
      <c r="EF20" s="39"/>
      <c r="EG20" s="39"/>
      <c r="EH20" s="39"/>
      <c r="EI20" s="41"/>
      <c r="EJ20" s="39"/>
      <c r="EK20" s="39"/>
      <c r="EL20" s="39"/>
      <c r="EM20" s="39"/>
      <c r="EN20" s="39"/>
      <c r="EO20" s="39"/>
      <c r="EP20" s="41"/>
      <c r="EQ20" s="39"/>
      <c r="ER20" s="39"/>
      <c r="ES20" s="39"/>
      <c r="ET20" s="39"/>
      <c r="EU20" s="39"/>
      <c r="EV20" s="39"/>
      <c r="EW20" s="41"/>
      <c r="EX20" s="39"/>
      <c r="EY20" s="39"/>
      <c r="EZ20" s="40"/>
      <c r="FA20" s="39"/>
      <c r="FB20" s="39"/>
      <c r="FC20" s="39"/>
      <c r="FD20" s="46"/>
      <c r="FE20" s="45"/>
      <c r="FF20" s="39"/>
      <c r="FG20" s="39"/>
      <c r="FH20" s="39"/>
      <c r="FI20" s="39"/>
      <c r="FJ20" s="39"/>
      <c r="FK20" s="41"/>
      <c r="FL20" s="39"/>
      <c r="FM20" s="39"/>
      <c r="FN20" s="39"/>
      <c r="FO20" s="39"/>
      <c r="FP20" s="39"/>
      <c r="FQ20" s="39"/>
      <c r="FR20" s="41"/>
      <c r="FS20" s="39"/>
      <c r="FT20" s="39"/>
      <c r="FU20" s="39"/>
      <c r="FV20" s="39"/>
      <c r="FW20" s="39"/>
      <c r="FX20" s="39"/>
      <c r="FY20" s="41"/>
      <c r="FZ20" s="39"/>
      <c r="GA20" s="39"/>
      <c r="GB20" s="39"/>
      <c r="GC20" s="39"/>
      <c r="GD20" s="39"/>
      <c r="GE20" s="39"/>
      <c r="GF20" s="41"/>
      <c r="GG20" s="39"/>
      <c r="GH20" s="42"/>
      <c r="GI20" s="44"/>
      <c r="GJ20" s="39"/>
      <c r="GK20" s="39"/>
      <c r="GL20" s="39"/>
      <c r="GM20" s="41"/>
      <c r="GN20" s="39"/>
      <c r="GO20" s="39"/>
      <c r="GP20" s="39"/>
      <c r="GQ20" s="39"/>
      <c r="GR20" s="39"/>
      <c r="GS20" s="39"/>
      <c r="GT20" s="41"/>
      <c r="GU20" s="39"/>
      <c r="GV20" s="39"/>
      <c r="GW20" s="39"/>
      <c r="GX20" s="39"/>
      <c r="GY20" s="39"/>
      <c r="GZ20" s="39"/>
      <c r="HA20" s="41"/>
      <c r="HB20" s="39"/>
      <c r="HC20" s="39"/>
      <c r="HD20" s="39"/>
      <c r="HE20" s="39"/>
      <c r="HF20" s="39"/>
      <c r="HG20" s="39"/>
      <c r="HH20" s="41"/>
      <c r="HI20" s="39"/>
      <c r="HJ20" s="39"/>
      <c r="HK20" s="39"/>
      <c r="HL20" s="39"/>
      <c r="HM20" s="42"/>
      <c r="HN20" s="44"/>
      <c r="HO20" s="41"/>
      <c r="HP20" s="39"/>
      <c r="HQ20" s="39"/>
      <c r="HR20" s="39"/>
      <c r="HS20" s="39"/>
      <c r="HT20" s="39"/>
      <c r="HU20" s="39"/>
      <c r="HV20" s="41"/>
      <c r="HW20" s="39"/>
      <c r="HX20" s="39"/>
      <c r="HY20" s="39"/>
      <c r="HZ20" s="39"/>
      <c r="IA20" s="39"/>
      <c r="IB20" s="39"/>
      <c r="IC20" s="41"/>
      <c r="ID20" s="39"/>
      <c r="IE20" s="39"/>
      <c r="IF20" s="39"/>
      <c r="IG20" s="39"/>
      <c r="IH20" s="39"/>
      <c r="II20" s="39"/>
      <c r="IJ20" s="41"/>
      <c r="IK20" s="39"/>
      <c r="IL20" s="39"/>
      <c r="IM20" s="39"/>
      <c r="IN20" s="39"/>
      <c r="IO20" s="39"/>
      <c r="IP20" s="39"/>
      <c r="IQ20" s="41"/>
      <c r="IR20" s="42"/>
      <c r="IS20" s="44"/>
      <c r="IT20" s="39"/>
      <c r="IU20" s="39"/>
      <c r="IV20" s="39"/>
      <c r="IW20" s="39"/>
      <c r="IX20" s="41"/>
      <c r="IY20" s="39"/>
      <c r="IZ20" s="39"/>
      <c r="JA20" s="39"/>
      <c r="JB20" s="39"/>
      <c r="JC20" s="39"/>
      <c r="JD20" s="39"/>
      <c r="JE20" s="41"/>
      <c r="JF20" s="39"/>
      <c r="JG20" s="39"/>
      <c r="JH20" s="39"/>
      <c r="JI20" s="39"/>
      <c r="JJ20" s="39"/>
      <c r="JK20" s="39"/>
      <c r="JL20" s="41"/>
      <c r="JM20" s="39"/>
      <c r="JN20" s="39"/>
      <c r="JO20" s="39"/>
      <c r="JP20" s="39"/>
      <c r="JQ20" s="39"/>
      <c r="JR20" s="39"/>
      <c r="JS20" s="41"/>
      <c r="JT20" s="39"/>
      <c r="JU20" s="39"/>
      <c r="JV20" s="42"/>
      <c r="JW20" s="44"/>
      <c r="JX20" s="39"/>
      <c r="JY20" s="39"/>
      <c r="JZ20" s="41"/>
      <c r="KA20" s="39"/>
      <c r="KB20" s="39"/>
      <c r="KC20" s="39"/>
      <c r="KD20" s="39"/>
      <c r="KE20" s="39"/>
      <c r="KF20" s="40"/>
      <c r="KG20" s="41"/>
      <c r="KH20" s="39"/>
      <c r="KI20" s="39"/>
      <c r="KJ20" s="39"/>
      <c r="KK20" s="39"/>
      <c r="KL20" s="39"/>
      <c r="KM20" s="39"/>
      <c r="KN20" s="41"/>
      <c r="KO20" s="39"/>
      <c r="KP20" s="40"/>
      <c r="KQ20" s="39"/>
      <c r="KR20" s="39"/>
      <c r="KS20" s="39"/>
      <c r="KT20" s="39"/>
      <c r="KU20" s="41"/>
      <c r="KV20" s="39"/>
      <c r="KW20" s="39"/>
      <c r="KX20" s="39"/>
      <c r="KY20" s="39"/>
      <c r="KZ20" s="39"/>
      <c r="LA20" s="42"/>
      <c r="LB20" s="43"/>
      <c r="LC20" s="39"/>
      <c r="LD20" s="39"/>
      <c r="LE20" s="39"/>
      <c r="LF20" s="39"/>
      <c r="LG20" s="39"/>
      <c r="LH20" s="39"/>
      <c r="LI20" s="41"/>
      <c r="LJ20" s="39"/>
      <c r="LK20" s="39"/>
      <c r="LL20" s="39"/>
      <c r="LM20" s="39"/>
      <c r="LN20" s="39"/>
      <c r="LO20" s="39"/>
      <c r="LP20" s="41"/>
      <c r="LQ20" s="39"/>
      <c r="LR20" s="39"/>
      <c r="LS20" s="39"/>
      <c r="LT20" s="39"/>
      <c r="LU20" s="39"/>
      <c r="LV20" s="39"/>
      <c r="LW20" s="41"/>
      <c r="LX20" s="39"/>
      <c r="LY20" s="39"/>
      <c r="LZ20" s="39"/>
      <c r="MA20" s="39"/>
      <c r="MB20" s="39"/>
      <c r="MC20" s="39"/>
      <c r="MD20" s="41"/>
      <c r="ME20" s="42"/>
      <c r="MF20" s="44"/>
      <c r="MG20" s="39"/>
      <c r="MH20" s="39"/>
      <c r="MI20" s="39"/>
      <c r="MJ20" s="39"/>
      <c r="MK20" s="41"/>
      <c r="ML20" s="39"/>
      <c r="MM20" s="39"/>
      <c r="MN20" s="39"/>
      <c r="MO20" s="39"/>
      <c r="MP20" s="39"/>
      <c r="MQ20" s="40"/>
      <c r="MR20" s="41"/>
      <c r="MS20" s="39"/>
      <c r="MT20" s="39"/>
      <c r="MU20" s="39"/>
      <c r="MV20" s="39"/>
      <c r="MW20" s="39"/>
      <c r="MX20" s="39"/>
      <c r="MY20" s="41"/>
      <c r="MZ20" s="39"/>
      <c r="NA20" s="39"/>
      <c r="NB20" s="39"/>
      <c r="NC20" s="39"/>
      <c r="ND20" s="40"/>
      <c r="NE20" s="40"/>
      <c r="NF20" s="41"/>
      <c r="NG20" s="39"/>
      <c r="NH20" s="39"/>
      <c r="NI20" s="39"/>
      <c r="NJ20" s="42"/>
    </row>
    <row r="21" spans="1:374">
      <c r="A21" s="147" t="s">
        <v>130</v>
      </c>
      <c r="B21" s="52" t="s">
        <v>429</v>
      </c>
      <c r="C21" s="52" t="s">
        <v>430</v>
      </c>
      <c r="D21" s="39"/>
      <c r="E21" s="39">
        <v>21</v>
      </c>
      <c r="F21" s="39">
        <f t="shared" si="0"/>
        <v>0</v>
      </c>
      <c r="G21" s="39">
        <f t="shared" si="1"/>
        <v>21</v>
      </c>
      <c r="H21" s="39">
        <f t="shared" si="2"/>
        <v>0</v>
      </c>
      <c r="I21" s="39">
        <f t="shared" si="4"/>
        <v>21</v>
      </c>
      <c r="J21" s="40"/>
      <c r="K21" s="39"/>
      <c r="L21" s="39"/>
      <c r="M21" s="41"/>
      <c r="N21" s="39"/>
      <c r="O21" s="39"/>
      <c r="P21" s="39"/>
      <c r="Q21" s="39"/>
      <c r="R21" s="39"/>
      <c r="S21" s="39"/>
      <c r="T21" s="41"/>
      <c r="U21" s="39"/>
      <c r="V21" s="39"/>
      <c r="W21" s="39"/>
      <c r="X21" s="39"/>
      <c r="Y21" s="39"/>
      <c r="Z21" s="39"/>
      <c r="AA21" s="41"/>
      <c r="AB21" s="39"/>
      <c r="AC21" s="39"/>
      <c r="AD21" s="39"/>
      <c r="AE21" s="39"/>
      <c r="AF21" s="39"/>
      <c r="AG21" s="39"/>
      <c r="AH21" s="41"/>
      <c r="AI21" s="39"/>
      <c r="AJ21" s="39"/>
      <c r="AK21" s="39"/>
      <c r="AL21" s="39"/>
      <c r="AM21" s="39"/>
      <c r="AN21" s="42"/>
      <c r="AO21" s="43"/>
      <c r="AP21" s="39"/>
      <c r="AQ21" s="39"/>
      <c r="AR21" s="39"/>
      <c r="AS21" s="39"/>
      <c r="AT21" s="39"/>
      <c r="AU21" s="39"/>
      <c r="AV21" s="41"/>
      <c r="AW21" s="39"/>
      <c r="AX21" s="39"/>
      <c r="AY21" s="39"/>
      <c r="AZ21" s="39"/>
      <c r="BA21" s="39"/>
      <c r="BB21" s="39"/>
      <c r="BC21" s="41"/>
      <c r="BD21" s="39"/>
      <c r="BE21" s="39"/>
      <c r="BF21" s="39"/>
      <c r="BG21" s="39"/>
      <c r="BH21" s="39"/>
      <c r="BI21" s="39"/>
      <c r="BJ21" s="41"/>
      <c r="BK21" s="39"/>
      <c r="BL21" s="39"/>
      <c r="BM21" s="39"/>
      <c r="BN21" s="39"/>
      <c r="BO21" s="39"/>
      <c r="BP21" s="42"/>
      <c r="BQ21" s="43"/>
      <c r="BR21" s="39"/>
      <c r="BS21" s="39"/>
      <c r="BT21" s="39"/>
      <c r="BU21" s="39"/>
      <c r="BV21" s="39"/>
      <c r="BW21" s="39"/>
      <c r="BX21" s="41"/>
      <c r="BY21" s="39"/>
      <c r="BZ21" s="39"/>
      <c r="CA21" s="39"/>
      <c r="CB21" s="39"/>
      <c r="CC21" s="39"/>
      <c r="CD21" s="39"/>
      <c r="CE21" s="41"/>
      <c r="CF21" s="39"/>
      <c r="CG21" s="39"/>
      <c r="CH21" s="39"/>
      <c r="CI21" s="39"/>
      <c r="CJ21" s="40"/>
      <c r="CK21" s="39"/>
      <c r="CL21" s="41"/>
      <c r="CM21" s="39"/>
      <c r="CN21" s="39"/>
      <c r="CO21" s="39"/>
      <c r="CP21" s="39"/>
      <c r="CQ21" s="39"/>
      <c r="CR21" s="39"/>
      <c r="CS21" s="41"/>
      <c r="CT21" s="39"/>
      <c r="CU21" s="42"/>
      <c r="CV21" s="44"/>
      <c r="CW21" s="39"/>
      <c r="CX21" s="40"/>
      <c r="CY21" s="39"/>
      <c r="CZ21" s="40"/>
      <c r="DA21" s="40"/>
      <c r="DB21" s="39"/>
      <c r="DC21" s="39"/>
      <c r="DD21" s="39"/>
      <c r="DE21" s="39"/>
      <c r="DF21" s="39"/>
      <c r="DG21" s="41"/>
      <c r="DH21" s="39"/>
      <c r="DI21" s="39"/>
      <c r="DJ21" s="39"/>
      <c r="DK21" s="39"/>
      <c r="DL21" s="39"/>
      <c r="DM21" s="39"/>
      <c r="DN21" s="41"/>
      <c r="DO21" s="39"/>
      <c r="DP21" s="39"/>
      <c r="DQ21" s="39"/>
      <c r="DR21" s="39"/>
      <c r="DS21" s="39"/>
      <c r="DT21" s="39"/>
      <c r="DU21" s="41"/>
      <c r="DV21" s="39"/>
      <c r="DW21" s="39"/>
      <c r="DX21" s="39"/>
      <c r="DY21" s="42"/>
      <c r="DZ21" s="45"/>
      <c r="EA21" s="39"/>
      <c r="EB21" s="41"/>
      <c r="EC21" s="39"/>
      <c r="ED21" s="39"/>
      <c r="EE21" s="39"/>
      <c r="EF21" s="39"/>
      <c r="EG21" s="39"/>
      <c r="EH21" s="39"/>
      <c r="EI21" s="41"/>
      <c r="EJ21" s="39"/>
      <c r="EK21" s="39"/>
      <c r="EL21" s="39"/>
      <c r="EM21" s="39"/>
      <c r="EN21" s="39"/>
      <c r="EO21" s="39"/>
      <c r="EP21" s="41"/>
      <c r="EQ21" s="39"/>
      <c r="ER21" s="39"/>
      <c r="ES21" s="39"/>
      <c r="ET21" s="39"/>
      <c r="EU21" s="39"/>
      <c r="EV21" s="39"/>
      <c r="EW21" s="41"/>
      <c r="EX21" s="39"/>
      <c r="EY21" s="39"/>
      <c r="EZ21" s="40"/>
      <c r="FA21" s="39"/>
      <c r="FB21" s="39"/>
      <c r="FC21" s="39"/>
      <c r="FD21" s="46"/>
      <c r="FE21" s="45"/>
      <c r="FF21" s="39"/>
      <c r="FG21" s="39"/>
      <c r="FH21" s="39"/>
      <c r="FI21" s="39"/>
      <c r="FJ21" s="39"/>
      <c r="FK21" s="41"/>
      <c r="FL21" s="39"/>
      <c r="FM21" s="39"/>
      <c r="FN21" s="39"/>
      <c r="FO21" s="39"/>
      <c r="FP21" s="39"/>
      <c r="FQ21" s="39"/>
      <c r="FR21" s="41"/>
      <c r="FS21" s="39"/>
      <c r="FT21" s="39"/>
      <c r="FU21" s="39"/>
      <c r="FV21" s="39"/>
      <c r="FW21" s="39"/>
      <c r="FX21" s="39"/>
      <c r="FY21" s="41"/>
      <c r="FZ21" s="39"/>
      <c r="GA21" s="39"/>
      <c r="GB21" s="39"/>
      <c r="GC21" s="39"/>
      <c r="GD21" s="39"/>
      <c r="GE21" s="39"/>
      <c r="GF21" s="41"/>
      <c r="GG21" s="39"/>
      <c r="GH21" s="42"/>
      <c r="GI21" s="44"/>
      <c r="GJ21" s="39"/>
      <c r="GK21" s="39"/>
      <c r="GL21" s="39"/>
      <c r="GM21" s="41"/>
      <c r="GN21" s="39"/>
      <c r="GO21" s="39"/>
      <c r="GP21" s="39"/>
      <c r="GQ21" s="39"/>
      <c r="GR21" s="39"/>
      <c r="GS21" s="39"/>
      <c r="GT21" s="41"/>
      <c r="GU21" s="39"/>
      <c r="GV21" s="39"/>
      <c r="GW21" s="39"/>
      <c r="GX21" s="39"/>
      <c r="GY21" s="39"/>
      <c r="GZ21" s="39"/>
      <c r="HA21" s="41"/>
      <c r="HB21" s="39"/>
      <c r="HC21" s="39"/>
      <c r="HD21" s="39"/>
      <c r="HE21" s="39"/>
      <c r="HF21" s="39"/>
      <c r="HG21" s="39"/>
      <c r="HH21" s="41"/>
      <c r="HI21" s="39"/>
      <c r="HJ21" s="39"/>
      <c r="HK21" s="39"/>
      <c r="HL21" s="39"/>
      <c r="HM21" s="42"/>
      <c r="HN21" s="44"/>
      <c r="HO21" s="41"/>
      <c r="HP21" s="39"/>
      <c r="HQ21" s="39"/>
      <c r="HR21" s="39"/>
      <c r="HS21" s="39"/>
      <c r="HT21" s="39"/>
      <c r="HU21" s="39"/>
      <c r="HV21" s="41"/>
      <c r="HW21" s="39"/>
      <c r="HX21" s="39"/>
      <c r="HY21" s="39"/>
      <c r="HZ21" s="39"/>
      <c r="IA21" s="39"/>
      <c r="IB21" s="39"/>
      <c r="IC21" s="41"/>
      <c r="ID21" s="39"/>
      <c r="IE21" s="39"/>
      <c r="IF21" s="39"/>
      <c r="IG21" s="39"/>
      <c r="IH21" s="39"/>
      <c r="II21" s="39"/>
      <c r="IJ21" s="41"/>
      <c r="IK21" s="39"/>
      <c r="IL21" s="39"/>
      <c r="IM21" s="39"/>
      <c r="IN21" s="39"/>
      <c r="IO21" s="39"/>
      <c r="IP21" s="39"/>
      <c r="IQ21" s="41"/>
      <c r="IR21" s="42"/>
      <c r="IS21" s="44"/>
      <c r="IT21" s="39"/>
      <c r="IU21" s="39"/>
      <c r="IV21" s="39"/>
      <c r="IW21" s="39"/>
      <c r="IX21" s="41"/>
      <c r="IY21" s="39"/>
      <c r="IZ21" s="39"/>
      <c r="JA21" s="39"/>
      <c r="JB21" s="39"/>
      <c r="JC21" s="39"/>
      <c r="JD21" s="39"/>
      <c r="JE21" s="41"/>
      <c r="JF21" s="39"/>
      <c r="JG21" s="39"/>
      <c r="JH21" s="39"/>
      <c r="JI21" s="39"/>
      <c r="JJ21" s="39"/>
      <c r="JK21" s="39"/>
      <c r="JL21" s="41"/>
      <c r="JM21" s="39"/>
      <c r="JN21" s="39"/>
      <c r="JO21" s="39"/>
      <c r="JP21" s="39"/>
      <c r="JQ21" s="39"/>
      <c r="JR21" s="39"/>
      <c r="JS21" s="41"/>
      <c r="JT21" s="39"/>
      <c r="JU21" s="39"/>
      <c r="JV21" s="42"/>
      <c r="JW21" s="44"/>
      <c r="JX21" s="39"/>
      <c r="JY21" s="39"/>
      <c r="JZ21" s="41"/>
      <c r="KA21" s="39"/>
      <c r="KB21" s="39"/>
      <c r="KC21" s="39"/>
      <c r="KD21" s="39"/>
      <c r="KE21" s="39"/>
      <c r="KF21" s="40"/>
      <c r="KG21" s="41"/>
      <c r="KH21" s="39"/>
      <c r="KI21" s="39"/>
      <c r="KJ21" s="39"/>
      <c r="KK21" s="39"/>
      <c r="KL21" s="39"/>
      <c r="KM21" s="39"/>
      <c r="KN21" s="41"/>
      <c r="KO21" s="39"/>
      <c r="KP21" s="40"/>
      <c r="KQ21" s="39"/>
      <c r="KR21" s="39"/>
      <c r="KS21" s="39"/>
      <c r="KT21" s="39"/>
      <c r="KU21" s="41"/>
      <c r="KV21" s="39"/>
      <c r="KW21" s="39"/>
      <c r="KX21" s="39"/>
      <c r="KY21" s="39"/>
      <c r="KZ21" s="39"/>
      <c r="LA21" s="42"/>
      <c r="LB21" s="43"/>
      <c r="LC21" s="39"/>
      <c r="LD21" s="39"/>
      <c r="LE21" s="39"/>
      <c r="LF21" s="39"/>
      <c r="LG21" s="39"/>
      <c r="LH21" s="39"/>
      <c r="LI21" s="41"/>
      <c r="LJ21" s="39"/>
      <c r="LK21" s="39"/>
      <c r="LL21" s="39"/>
      <c r="LM21" s="39"/>
      <c r="LN21" s="39"/>
      <c r="LO21" s="39"/>
      <c r="LP21" s="41"/>
      <c r="LQ21" s="39"/>
      <c r="LR21" s="39"/>
      <c r="LS21" s="39"/>
      <c r="LT21" s="39"/>
      <c r="LU21" s="39"/>
      <c r="LV21" s="39"/>
      <c r="LW21" s="41"/>
      <c r="LX21" s="39"/>
      <c r="LY21" s="39"/>
      <c r="LZ21" s="39"/>
      <c r="MA21" s="39"/>
      <c r="MB21" s="39"/>
      <c r="MC21" s="39"/>
      <c r="MD21" s="41"/>
      <c r="ME21" s="42"/>
      <c r="MF21" s="44"/>
      <c r="MG21" s="39"/>
      <c r="MH21" s="39"/>
      <c r="MI21" s="39"/>
      <c r="MJ21" s="39"/>
      <c r="MK21" s="41"/>
      <c r="ML21" s="39"/>
      <c r="MM21" s="39"/>
      <c r="MN21" s="39"/>
      <c r="MO21" s="39"/>
      <c r="MP21" s="39"/>
      <c r="MQ21" s="40"/>
      <c r="MR21" s="41"/>
      <c r="MS21" s="39"/>
      <c r="MT21" s="39"/>
      <c r="MU21" s="39"/>
      <c r="MV21" s="39"/>
      <c r="MW21" s="39"/>
      <c r="MX21" s="39"/>
      <c r="MY21" s="41"/>
      <c r="MZ21" s="39"/>
      <c r="NA21" s="39"/>
      <c r="NB21" s="39"/>
      <c r="NC21" s="39"/>
      <c r="ND21" s="40"/>
      <c r="NE21" s="40"/>
      <c r="NF21" s="41"/>
      <c r="NG21" s="39"/>
      <c r="NH21" s="39"/>
      <c r="NI21" s="39"/>
      <c r="NJ21" s="42"/>
    </row>
    <row r="22" spans="1:374">
      <c r="A22" s="145" t="s">
        <v>144</v>
      </c>
      <c r="B22" s="48" t="s">
        <v>431</v>
      </c>
      <c r="C22" s="48" t="s">
        <v>432</v>
      </c>
      <c r="D22" s="39">
        <v>5</v>
      </c>
      <c r="E22" s="39">
        <v>21</v>
      </c>
      <c r="F22" s="39">
        <f t="shared" si="0"/>
        <v>0</v>
      </c>
      <c r="G22" s="39">
        <f t="shared" si="1"/>
        <v>26</v>
      </c>
      <c r="H22" s="39">
        <f t="shared" si="2"/>
        <v>0</v>
      </c>
      <c r="I22" s="39">
        <f t="shared" si="4"/>
        <v>26</v>
      </c>
      <c r="J22" s="40"/>
      <c r="K22" s="39"/>
      <c r="L22" s="39"/>
      <c r="M22" s="41"/>
      <c r="N22" s="39"/>
      <c r="O22" s="39"/>
      <c r="P22" s="39"/>
      <c r="Q22" s="39"/>
      <c r="R22" s="39"/>
      <c r="S22" s="39"/>
      <c r="T22" s="41"/>
      <c r="U22" s="39"/>
      <c r="V22" s="39"/>
      <c r="W22" s="39"/>
      <c r="X22" s="39"/>
      <c r="Y22" s="39"/>
      <c r="Z22" s="39"/>
      <c r="AA22" s="41"/>
      <c r="AB22" s="39"/>
      <c r="AC22" s="39"/>
      <c r="AD22" s="39"/>
      <c r="AE22" s="39"/>
      <c r="AF22" s="39"/>
      <c r="AG22" s="39"/>
      <c r="AH22" s="41"/>
      <c r="AI22" s="39"/>
      <c r="AJ22" s="39"/>
      <c r="AK22" s="39"/>
      <c r="AL22" s="39"/>
      <c r="AM22" s="39"/>
      <c r="AN22" s="42"/>
      <c r="AO22" s="43"/>
      <c r="AP22" s="39"/>
      <c r="AQ22" s="39"/>
      <c r="AR22" s="39"/>
      <c r="AS22" s="39"/>
      <c r="AT22" s="39"/>
      <c r="AU22" s="39"/>
      <c r="AV22" s="41"/>
      <c r="AW22" s="39"/>
      <c r="AX22" s="39"/>
      <c r="AY22" s="39"/>
      <c r="AZ22" s="39"/>
      <c r="BA22" s="39"/>
      <c r="BB22" s="39"/>
      <c r="BC22" s="41"/>
      <c r="BD22" s="39"/>
      <c r="BE22" s="39"/>
      <c r="BF22" s="39"/>
      <c r="BG22" s="39"/>
      <c r="BH22" s="39"/>
      <c r="BI22" s="39"/>
      <c r="BJ22" s="41"/>
      <c r="BK22" s="39"/>
      <c r="BL22" s="39"/>
      <c r="BM22" s="39"/>
      <c r="BN22" s="39"/>
      <c r="BO22" s="39"/>
      <c r="BP22" s="42"/>
      <c r="BQ22" s="43"/>
      <c r="BR22" s="39"/>
      <c r="BS22" s="39"/>
      <c r="BT22" s="39"/>
      <c r="BU22" s="39"/>
      <c r="BV22" s="39"/>
      <c r="BW22" s="39"/>
      <c r="BX22" s="41"/>
      <c r="BY22" s="39"/>
      <c r="BZ22" s="39"/>
      <c r="CA22" s="39"/>
      <c r="CB22" s="39"/>
      <c r="CC22" s="39"/>
      <c r="CD22" s="39"/>
      <c r="CE22" s="41"/>
      <c r="CF22" s="39"/>
      <c r="CG22" s="39"/>
      <c r="CH22" s="39"/>
      <c r="CI22" s="39"/>
      <c r="CJ22" s="40"/>
      <c r="CK22" s="39"/>
      <c r="CL22" s="41"/>
      <c r="CM22" s="39"/>
      <c r="CN22" s="39"/>
      <c r="CO22" s="39"/>
      <c r="CP22" s="39"/>
      <c r="CQ22" s="39"/>
      <c r="CR22" s="39"/>
      <c r="CS22" s="41"/>
      <c r="CT22" s="39"/>
      <c r="CU22" s="42"/>
      <c r="CV22" s="44"/>
      <c r="CW22" s="39"/>
      <c r="CX22" s="40"/>
      <c r="CY22" s="39"/>
      <c r="CZ22" s="40"/>
      <c r="DA22" s="40"/>
      <c r="DB22" s="39"/>
      <c r="DC22" s="39"/>
      <c r="DD22" s="39"/>
      <c r="DE22" s="39"/>
      <c r="DF22" s="39"/>
      <c r="DG22" s="41"/>
      <c r="DH22" s="39"/>
      <c r="DI22" s="39"/>
      <c r="DJ22" s="39"/>
      <c r="DK22" s="39"/>
      <c r="DL22" s="39"/>
      <c r="DM22" s="39"/>
      <c r="DN22" s="41"/>
      <c r="DO22" s="39"/>
      <c r="DP22" s="39"/>
      <c r="DQ22" s="39"/>
      <c r="DR22" s="39"/>
      <c r="DS22" s="39"/>
      <c r="DT22" s="39"/>
      <c r="DU22" s="41"/>
      <c r="DV22" s="39"/>
      <c r="DW22" s="39"/>
      <c r="DX22" s="39"/>
      <c r="DY22" s="42"/>
      <c r="DZ22" s="45"/>
      <c r="EA22" s="39"/>
      <c r="EB22" s="41"/>
      <c r="EC22" s="39"/>
      <c r="ED22" s="39"/>
      <c r="EE22" s="39"/>
      <c r="EF22" s="39"/>
      <c r="EG22" s="39"/>
      <c r="EH22" s="39"/>
      <c r="EI22" s="41"/>
      <c r="EJ22" s="39"/>
      <c r="EK22" s="39"/>
      <c r="EL22" s="39"/>
      <c r="EM22" s="39"/>
      <c r="EN22" s="39"/>
      <c r="EO22" s="39"/>
      <c r="EP22" s="41"/>
      <c r="EQ22" s="39"/>
      <c r="ER22" s="39"/>
      <c r="ES22" s="39"/>
      <c r="ET22" s="39"/>
      <c r="EU22" s="39"/>
      <c r="EV22" s="39"/>
      <c r="EW22" s="41"/>
      <c r="EX22" s="39"/>
      <c r="EY22" s="39"/>
      <c r="EZ22" s="40"/>
      <c r="FA22" s="39"/>
      <c r="FB22" s="39"/>
      <c r="FC22" s="39"/>
      <c r="FD22" s="46"/>
      <c r="FE22" s="45"/>
      <c r="FF22" s="39"/>
      <c r="FG22" s="39"/>
      <c r="FH22" s="39"/>
      <c r="FI22" s="39"/>
      <c r="FJ22" s="39"/>
      <c r="FK22" s="41"/>
      <c r="FL22" s="39"/>
      <c r="FM22" s="39"/>
      <c r="FN22" s="39"/>
      <c r="FO22" s="39"/>
      <c r="FP22" s="39"/>
      <c r="FQ22" s="39"/>
      <c r="FR22" s="41"/>
      <c r="FS22" s="39"/>
      <c r="FT22" s="39"/>
      <c r="FU22" s="39"/>
      <c r="FV22" s="39"/>
      <c r="FW22" s="39"/>
      <c r="FX22" s="39"/>
      <c r="FY22" s="41"/>
      <c r="FZ22" s="39"/>
      <c r="GA22" s="39"/>
      <c r="GB22" s="39"/>
      <c r="GC22" s="39"/>
      <c r="GD22" s="39"/>
      <c r="GE22" s="39"/>
      <c r="GF22" s="41"/>
      <c r="GG22" s="39"/>
      <c r="GH22" s="42"/>
      <c r="GI22" s="44"/>
      <c r="GJ22" s="39"/>
      <c r="GK22" s="39"/>
      <c r="GL22" s="39"/>
      <c r="GM22" s="41"/>
      <c r="GN22" s="39"/>
      <c r="GO22" s="39"/>
      <c r="GP22" s="39"/>
      <c r="GQ22" s="39"/>
      <c r="GR22" s="39"/>
      <c r="GS22" s="39"/>
      <c r="GT22" s="41"/>
      <c r="GU22" s="39"/>
      <c r="GV22" s="39"/>
      <c r="GW22" s="39"/>
      <c r="GX22" s="39"/>
      <c r="GY22" s="39"/>
      <c r="GZ22" s="39"/>
      <c r="HA22" s="41"/>
      <c r="HB22" s="39"/>
      <c r="HC22" s="39"/>
      <c r="HD22" s="39"/>
      <c r="HE22" s="39"/>
      <c r="HF22" s="39"/>
      <c r="HG22" s="39"/>
      <c r="HH22" s="41"/>
      <c r="HI22" s="39"/>
      <c r="HJ22" s="39"/>
      <c r="HK22" s="39"/>
      <c r="HL22" s="39"/>
      <c r="HM22" s="42"/>
      <c r="HN22" s="44"/>
      <c r="HO22" s="41"/>
      <c r="HP22" s="39"/>
      <c r="HQ22" s="39"/>
      <c r="HR22" s="39"/>
      <c r="HS22" s="39"/>
      <c r="HT22" s="39"/>
      <c r="HU22" s="39"/>
      <c r="HV22" s="41"/>
      <c r="HW22" s="39"/>
      <c r="HX22" s="39"/>
      <c r="HY22" s="39"/>
      <c r="HZ22" s="39"/>
      <c r="IA22" s="39"/>
      <c r="IB22" s="39"/>
      <c r="IC22" s="41"/>
      <c r="ID22" s="39"/>
      <c r="IE22" s="39"/>
      <c r="IF22" s="39"/>
      <c r="IG22" s="39"/>
      <c r="IH22" s="39"/>
      <c r="II22" s="39"/>
      <c r="IJ22" s="41"/>
      <c r="IK22" s="39"/>
      <c r="IL22" s="39"/>
      <c r="IM22" s="39"/>
      <c r="IN22" s="39"/>
      <c r="IO22" s="39"/>
      <c r="IP22" s="39"/>
      <c r="IQ22" s="41"/>
      <c r="IR22" s="42"/>
      <c r="IS22" s="44"/>
      <c r="IT22" s="39"/>
      <c r="IU22" s="39"/>
      <c r="IV22" s="39"/>
      <c r="IW22" s="39"/>
      <c r="IX22" s="41"/>
      <c r="IY22" s="39"/>
      <c r="IZ22" s="39"/>
      <c r="JA22" s="39"/>
      <c r="JB22" s="39"/>
      <c r="JC22" s="39"/>
      <c r="JD22" s="39"/>
      <c r="JE22" s="41"/>
      <c r="JF22" s="39"/>
      <c r="JG22" s="39"/>
      <c r="JH22" s="39"/>
      <c r="JI22" s="39"/>
      <c r="JJ22" s="39"/>
      <c r="JK22" s="39"/>
      <c r="JL22" s="41"/>
      <c r="JM22" s="39"/>
      <c r="JN22" s="39"/>
      <c r="JO22" s="39"/>
      <c r="JP22" s="39"/>
      <c r="JQ22" s="39"/>
      <c r="JR22" s="39"/>
      <c r="JS22" s="41"/>
      <c r="JT22" s="39"/>
      <c r="JU22" s="39"/>
      <c r="JV22" s="42"/>
      <c r="JW22" s="44"/>
      <c r="JX22" s="39"/>
      <c r="JY22" s="39"/>
      <c r="JZ22" s="41"/>
      <c r="KA22" s="39"/>
      <c r="KB22" s="39"/>
      <c r="KC22" s="39"/>
      <c r="KD22" s="39"/>
      <c r="KE22" s="39"/>
      <c r="KF22" s="40"/>
      <c r="KG22" s="41"/>
      <c r="KH22" s="39"/>
      <c r="KI22" s="39"/>
      <c r="KJ22" s="39"/>
      <c r="KK22" s="39"/>
      <c r="KL22" s="39"/>
      <c r="KM22" s="39"/>
      <c r="KN22" s="41"/>
      <c r="KO22" s="39"/>
      <c r="KP22" s="40"/>
      <c r="KQ22" s="39"/>
      <c r="KR22" s="39"/>
      <c r="KS22" s="39"/>
      <c r="KT22" s="39"/>
      <c r="KU22" s="41"/>
      <c r="KV22" s="39"/>
      <c r="KW22" s="39"/>
      <c r="KX22" s="39"/>
      <c r="KY22" s="39"/>
      <c r="KZ22" s="39"/>
      <c r="LA22" s="42"/>
      <c r="LB22" s="43"/>
      <c r="LC22" s="39"/>
      <c r="LD22" s="39"/>
      <c r="LE22" s="39"/>
      <c r="LF22" s="39"/>
      <c r="LG22" s="39"/>
      <c r="LH22" s="39"/>
      <c r="LI22" s="41"/>
      <c r="LJ22" s="39"/>
      <c r="LK22" s="39"/>
      <c r="LL22" s="39"/>
      <c r="LM22" s="39"/>
      <c r="LN22" s="39"/>
      <c r="LO22" s="39"/>
      <c r="LP22" s="41"/>
      <c r="LQ22" s="39"/>
      <c r="LR22" s="39"/>
      <c r="LS22" s="39"/>
      <c r="LT22" s="39"/>
      <c r="LU22" s="39"/>
      <c r="LV22" s="39"/>
      <c r="LW22" s="41"/>
      <c r="LX22" s="39"/>
      <c r="LY22" s="39"/>
      <c r="LZ22" s="39"/>
      <c r="MA22" s="39"/>
      <c r="MB22" s="39"/>
      <c r="MC22" s="39"/>
      <c r="MD22" s="41"/>
      <c r="ME22" s="42"/>
      <c r="MF22" s="44"/>
      <c r="MG22" s="39"/>
      <c r="MH22" s="39"/>
      <c r="MI22" s="39"/>
      <c r="MJ22" s="39"/>
      <c r="MK22" s="41"/>
      <c r="ML22" s="39"/>
      <c r="MM22" s="39"/>
      <c r="MN22" s="39"/>
      <c r="MO22" s="39"/>
      <c r="MP22" s="39"/>
      <c r="MQ22" s="40"/>
      <c r="MR22" s="41"/>
      <c r="MS22" s="39"/>
      <c r="MT22" s="39"/>
      <c r="MU22" s="39"/>
      <c r="MV22" s="39"/>
      <c r="MW22" s="39"/>
      <c r="MX22" s="39"/>
      <c r="MY22" s="41"/>
      <c r="MZ22" s="39"/>
      <c r="NA22" s="39"/>
      <c r="NB22" s="39"/>
      <c r="NC22" s="39"/>
      <c r="ND22" s="40"/>
      <c r="NE22" s="40"/>
      <c r="NF22" s="41"/>
      <c r="NG22" s="39"/>
      <c r="NH22" s="39"/>
      <c r="NI22" s="39"/>
      <c r="NJ22" s="42"/>
    </row>
    <row r="23" spans="1:374">
      <c r="A23" s="147" t="s">
        <v>136</v>
      </c>
      <c r="B23" s="51" t="s">
        <v>433</v>
      </c>
      <c r="C23" s="51" t="s">
        <v>434</v>
      </c>
      <c r="D23" s="39"/>
      <c r="E23" s="39">
        <v>21</v>
      </c>
      <c r="F23" s="39">
        <f t="shared" si="0"/>
        <v>0</v>
      </c>
      <c r="G23" s="39">
        <f t="shared" si="1"/>
        <v>21</v>
      </c>
      <c r="H23" s="39">
        <f t="shared" si="2"/>
        <v>0</v>
      </c>
      <c r="I23" s="39">
        <f t="shared" si="4"/>
        <v>21</v>
      </c>
      <c r="J23" s="40"/>
      <c r="K23" s="39"/>
      <c r="L23" s="39"/>
      <c r="M23" s="41"/>
      <c r="N23" s="39"/>
      <c r="O23" s="39"/>
      <c r="P23" s="39"/>
      <c r="Q23" s="39"/>
      <c r="R23" s="39"/>
      <c r="S23" s="39"/>
      <c r="T23" s="41"/>
      <c r="U23" s="39"/>
      <c r="V23" s="39"/>
      <c r="W23" s="39"/>
      <c r="X23" s="39"/>
      <c r="Y23" s="39"/>
      <c r="Z23" s="39"/>
      <c r="AA23" s="41"/>
      <c r="AB23" s="39"/>
      <c r="AC23" s="39"/>
      <c r="AD23" s="39"/>
      <c r="AE23" s="39"/>
      <c r="AF23" s="39"/>
      <c r="AG23" s="39"/>
      <c r="AH23" s="41"/>
      <c r="AI23" s="39"/>
      <c r="AJ23" s="39"/>
      <c r="AK23" s="39"/>
      <c r="AL23" s="39"/>
      <c r="AM23" s="39"/>
      <c r="AN23" s="42"/>
      <c r="AO23" s="43"/>
      <c r="AP23" s="39"/>
      <c r="AQ23" s="39"/>
      <c r="AR23" s="39"/>
      <c r="AS23" s="39"/>
      <c r="AT23" s="39"/>
      <c r="AU23" s="39"/>
      <c r="AV23" s="41"/>
      <c r="AW23" s="39"/>
      <c r="AX23" s="39"/>
      <c r="AY23" s="39"/>
      <c r="AZ23" s="39"/>
      <c r="BA23" s="39"/>
      <c r="BB23" s="39"/>
      <c r="BC23" s="41"/>
      <c r="BD23" s="39"/>
      <c r="BE23" s="39"/>
      <c r="BF23" s="39"/>
      <c r="BG23" s="39"/>
      <c r="BH23" s="39"/>
      <c r="BI23" s="39"/>
      <c r="BJ23" s="41"/>
      <c r="BK23" s="39"/>
      <c r="BL23" s="39"/>
      <c r="BM23" s="39"/>
      <c r="BN23" s="39"/>
      <c r="BO23" s="39"/>
      <c r="BP23" s="42"/>
      <c r="BQ23" s="43"/>
      <c r="BR23" s="39"/>
      <c r="BS23" s="39"/>
      <c r="BT23" s="39"/>
      <c r="BU23" s="39"/>
      <c r="BV23" s="39"/>
      <c r="BW23" s="39"/>
      <c r="BX23" s="41"/>
      <c r="BY23" s="39"/>
      <c r="BZ23" s="39"/>
      <c r="CA23" s="39"/>
      <c r="CB23" s="39"/>
      <c r="CC23" s="39"/>
      <c r="CD23" s="39"/>
      <c r="CE23" s="41"/>
      <c r="CF23" s="39"/>
      <c r="CG23" s="39"/>
      <c r="CH23" s="39"/>
      <c r="CI23" s="39"/>
      <c r="CJ23" s="40"/>
      <c r="CK23" s="39"/>
      <c r="CL23" s="41"/>
      <c r="CM23" s="39"/>
      <c r="CN23" s="39"/>
      <c r="CO23" s="39"/>
      <c r="CP23" s="39"/>
      <c r="CQ23" s="39"/>
      <c r="CR23" s="39"/>
      <c r="CS23" s="41"/>
      <c r="CT23" s="39"/>
      <c r="CU23" s="42"/>
      <c r="CV23" s="44"/>
      <c r="CW23" s="39"/>
      <c r="CX23" s="40"/>
      <c r="CY23" s="39"/>
      <c r="CZ23" s="40"/>
      <c r="DA23" s="40"/>
      <c r="DB23" s="39"/>
      <c r="DC23" s="39"/>
      <c r="DD23" s="39"/>
      <c r="DE23" s="39"/>
      <c r="DF23" s="39"/>
      <c r="DG23" s="41"/>
      <c r="DH23" s="39"/>
      <c r="DI23" s="39"/>
      <c r="DJ23" s="39"/>
      <c r="DK23" s="39"/>
      <c r="DL23" s="39"/>
      <c r="DM23" s="39"/>
      <c r="DN23" s="41"/>
      <c r="DO23" s="39"/>
      <c r="DP23" s="39"/>
      <c r="DQ23" s="39"/>
      <c r="DR23" s="39"/>
      <c r="DS23" s="39"/>
      <c r="DT23" s="39"/>
      <c r="DU23" s="41"/>
      <c r="DV23" s="39"/>
      <c r="DW23" s="39"/>
      <c r="DX23" s="39"/>
      <c r="DY23" s="42"/>
      <c r="DZ23" s="45"/>
      <c r="EA23" s="39"/>
      <c r="EB23" s="41"/>
      <c r="EC23" s="39"/>
      <c r="ED23" s="39"/>
      <c r="EE23" s="39"/>
      <c r="EF23" s="39"/>
      <c r="EG23" s="39"/>
      <c r="EH23" s="39"/>
      <c r="EI23" s="41"/>
      <c r="EJ23" s="39"/>
      <c r="EK23" s="39"/>
      <c r="EL23" s="39"/>
      <c r="EM23" s="39"/>
      <c r="EN23" s="39"/>
      <c r="EO23" s="39"/>
      <c r="EP23" s="41"/>
      <c r="EQ23" s="39"/>
      <c r="ER23" s="39"/>
      <c r="ES23" s="39"/>
      <c r="ET23" s="39"/>
      <c r="EU23" s="39"/>
      <c r="EV23" s="39"/>
      <c r="EW23" s="41"/>
      <c r="EX23" s="39"/>
      <c r="EY23" s="39"/>
      <c r="EZ23" s="40"/>
      <c r="FA23" s="39"/>
      <c r="FB23" s="39"/>
      <c r="FC23" s="39"/>
      <c r="FD23" s="46"/>
      <c r="FE23" s="45"/>
      <c r="FF23" s="39"/>
      <c r="FG23" s="39"/>
      <c r="FH23" s="39"/>
      <c r="FI23" s="39"/>
      <c r="FJ23" s="39"/>
      <c r="FK23" s="41"/>
      <c r="FL23" s="39"/>
      <c r="FM23" s="39"/>
      <c r="FN23" s="39"/>
      <c r="FO23" s="39"/>
      <c r="FP23" s="39"/>
      <c r="FQ23" s="39"/>
      <c r="FR23" s="41"/>
      <c r="FS23" s="39"/>
      <c r="FT23" s="39"/>
      <c r="FU23" s="39"/>
      <c r="FV23" s="39"/>
      <c r="FW23" s="39"/>
      <c r="FX23" s="39"/>
      <c r="FY23" s="41"/>
      <c r="FZ23" s="39"/>
      <c r="GA23" s="39"/>
      <c r="GB23" s="39"/>
      <c r="GC23" s="39"/>
      <c r="GD23" s="39"/>
      <c r="GE23" s="39"/>
      <c r="GF23" s="41"/>
      <c r="GG23" s="39"/>
      <c r="GH23" s="42"/>
      <c r="GI23" s="44"/>
      <c r="GJ23" s="39"/>
      <c r="GK23" s="39"/>
      <c r="GL23" s="39"/>
      <c r="GM23" s="41"/>
      <c r="GN23" s="39"/>
      <c r="GO23" s="39"/>
      <c r="GP23" s="39"/>
      <c r="GQ23" s="39"/>
      <c r="GR23" s="39"/>
      <c r="GS23" s="39"/>
      <c r="GT23" s="41"/>
      <c r="GU23" s="39"/>
      <c r="GV23" s="39"/>
      <c r="GW23" s="39"/>
      <c r="GX23" s="39"/>
      <c r="GY23" s="39"/>
      <c r="GZ23" s="39"/>
      <c r="HA23" s="41"/>
      <c r="HB23" s="39"/>
      <c r="HC23" s="39"/>
      <c r="HD23" s="39"/>
      <c r="HE23" s="39"/>
      <c r="HF23" s="39"/>
      <c r="HG23" s="39"/>
      <c r="HH23" s="41"/>
      <c r="HI23" s="39"/>
      <c r="HJ23" s="39"/>
      <c r="HK23" s="39"/>
      <c r="HL23" s="39"/>
      <c r="HM23" s="42"/>
      <c r="HN23" s="44"/>
      <c r="HO23" s="41"/>
      <c r="HP23" s="39"/>
      <c r="HQ23" s="39"/>
      <c r="HR23" s="39"/>
      <c r="HS23" s="39"/>
      <c r="HT23" s="39"/>
      <c r="HU23" s="39"/>
      <c r="HV23" s="41"/>
      <c r="HW23" s="39"/>
      <c r="HX23" s="39"/>
      <c r="HY23" s="39"/>
      <c r="HZ23" s="39"/>
      <c r="IA23" s="39"/>
      <c r="IB23" s="39"/>
      <c r="IC23" s="41"/>
      <c r="ID23" s="39"/>
      <c r="IE23" s="39"/>
      <c r="IF23" s="39"/>
      <c r="IG23" s="39"/>
      <c r="IH23" s="39"/>
      <c r="II23" s="39"/>
      <c r="IJ23" s="41"/>
      <c r="IK23" s="39"/>
      <c r="IL23" s="39"/>
      <c r="IM23" s="39"/>
      <c r="IN23" s="39"/>
      <c r="IO23" s="39"/>
      <c r="IP23" s="39"/>
      <c r="IQ23" s="41"/>
      <c r="IR23" s="42"/>
      <c r="IS23" s="44"/>
      <c r="IT23" s="39"/>
      <c r="IU23" s="39"/>
      <c r="IV23" s="39"/>
      <c r="IW23" s="39"/>
      <c r="IX23" s="41"/>
      <c r="IY23" s="39"/>
      <c r="IZ23" s="39"/>
      <c r="JA23" s="39"/>
      <c r="JB23" s="39"/>
      <c r="JC23" s="39"/>
      <c r="JD23" s="39"/>
      <c r="JE23" s="41"/>
      <c r="JF23" s="39"/>
      <c r="JG23" s="39"/>
      <c r="JH23" s="39"/>
      <c r="JI23" s="39"/>
      <c r="JJ23" s="39"/>
      <c r="JK23" s="39"/>
      <c r="JL23" s="41"/>
      <c r="JM23" s="39"/>
      <c r="JN23" s="39"/>
      <c r="JO23" s="39"/>
      <c r="JP23" s="39"/>
      <c r="JQ23" s="39"/>
      <c r="JR23" s="39"/>
      <c r="JS23" s="41"/>
      <c r="JT23" s="39"/>
      <c r="JU23" s="39"/>
      <c r="JV23" s="42"/>
      <c r="JW23" s="44"/>
      <c r="JX23" s="39"/>
      <c r="JY23" s="39"/>
      <c r="JZ23" s="41"/>
      <c r="KA23" s="39"/>
      <c r="KB23" s="39"/>
      <c r="KC23" s="39"/>
      <c r="KD23" s="39"/>
      <c r="KE23" s="39"/>
      <c r="KF23" s="40"/>
      <c r="KG23" s="41"/>
      <c r="KH23" s="39"/>
      <c r="KI23" s="39"/>
      <c r="KJ23" s="39"/>
      <c r="KK23" s="39"/>
      <c r="KL23" s="39"/>
      <c r="KM23" s="39"/>
      <c r="KN23" s="41"/>
      <c r="KO23" s="39"/>
      <c r="KP23" s="40"/>
      <c r="KQ23" s="39"/>
      <c r="KR23" s="39"/>
      <c r="KS23" s="39"/>
      <c r="KT23" s="39"/>
      <c r="KU23" s="41"/>
      <c r="KV23" s="39"/>
      <c r="KW23" s="39"/>
      <c r="KX23" s="39"/>
      <c r="KY23" s="39"/>
      <c r="KZ23" s="39"/>
      <c r="LA23" s="42"/>
      <c r="LB23" s="43"/>
      <c r="LC23" s="39"/>
      <c r="LD23" s="39"/>
      <c r="LE23" s="39"/>
      <c r="LF23" s="39"/>
      <c r="LG23" s="39"/>
      <c r="LH23" s="39"/>
      <c r="LI23" s="41"/>
      <c r="LJ23" s="39"/>
      <c r="LK23" s="39"/>
      <c r="LL23" s="39"/>
      <c r="LM23" s="39"/>
      <c r="LN23" s="39"/>
      <c r="LO23" s="39"/>
      <c r="LP23" s="41"/>
      <c r="LQ23" s="39"/>
      <c r="LR23" s="39"/>
      <c r="LS23" s="39"/>
      <c r="LT23" s="39"/>
      <c r="LU23" s="39"/>
      <c r="LV23" s="39"/>
      <c r="LW23" s="41"/>
      <c r="LX23" s="39"/>
      <c r="LY23" s="39"/>
      <c r="LZ23" s="39"/>
      <c r="MA23" s="39"/>
      <c r="MB23" s="39"/>
      <c r="MC23" s="39"/>
      <c r="MD23" s="41"/>
      <c r="ME23" s="42"/>
      <c r="MF23" s="44"/>
      <c r="MG23" s="39"/>
      <c r="MH23" s="39"/>
      <c r="MI23" s="39"/>
      <c r="MJ23" s="39"/>
      <c r="MK23" s="41"/>
      <c r="ML23" s="39"/>
      <c r="MM23" s="39"/>
      <c r="MN23" s="39"/>
      <c r="MO23" s="39"/>
      <c r="MP23" s="39"/>
      <c r="MQ23" s="40"/>
      <c r="MR23" s="41"/>
      <c r="MS23" s="39"/>
      <c r="MT23" s="39"/>
      <c r="MU23" s="39"/>
      <c r="MV23" s="39"/>
      <c r="MW23" s="39"/>
      <c r="MX23" s="39"/>
      <c r="MY23" s="41"/>
      <c r="MZ23" s="39"/>
      <c r="NA23" s="39"/>
      <c r="NB23" s="39"/>
      <c r="NC23" s="39"/>
      <c r="ND23" s="40"/>
      <c r="NE23" s="40"/>
      <c r="NF23" s="41"/>
      <c r="NG23" s="39"/>
      <c r="NH23" s="39"/>
      <c r="NI23" s="39"/>
      <c r="NJ23" s="42"/>
    </row>
    <row r="24" spans="1:374">
      <c r="A24" s="147" t="s">
        <v>151</v>
      </c>
      <c r="B24" s="51" t="s">
        <v>46</v>
      </c>
      <c r="C24" s="51" t="s">
        <v>435</v>
      </c>
      <c r="D24" s="39"/>
      <c r="E24" s="39">
        <v>21</v>
      </c>
      <c r="F24" s="39">
        <f t="shared" si="0"/>
        <v>0</v>
      </c>
      <c r="G24" s="39">
        <f t="shared" si="1"/>
        <v>21</v>
      </c>
      <c r="H24" s="39">
        <f t="shared" si="2"/>
        <v>0</v>
      </c>
      <c r="I24" s="39">
        <f t="shared" si="4"/>
        <v>21</v>
      </c>
      <c r="J24" s="40"/>
      <c r="K24" s="39"/>
      <c r="L24" s="39"/>
      <c r="M24" s="41"/>
      <c r="N24" s="39"/>
      <c r="O24" s="39"/>
      <c r="P24" s="39"/>
      <c r="Q24" s="39"/>
      <c r="R24" s="39"/>
      <c r="S24" s="39"/>
      <c r="T24" s="41"/>
      <c r="U24" s="39"/>
      <c r="V24" s="39"/>
      <c r="W24" s="39"/>
      <c r="X24" s="39"/>
      <c r="Y24" s="39"/>
      <c r="Z24" s="39"/>
      <c r="AA24" s="41"/>
      <c r="AB24" s="39"/>
      <c r="AC24" s="39"/>
      <c r="AD24" s="39"/>
      <c r="AE24" s="39"/>
      <c r="AF24" s="39"/>
      <c r="AG24" s="39"/>
      <c r="AH24" s="41"/>
      <c r="AI24" s="39"/>
      <c r="AJ24" s="39"/>
      <c r="AK24" s="39"/>
      <c r="AL24" s="39"/>
      <c r="AM24" s="39"/>
      <c r="AN24" s="39"/>
      <c r="AO24" s="41"/>
      <c r="AP24" s="39"/>
      <c r="AQ24" s="39"/>
      <c r="AR24" s="39"/>
      <c r="AS24" s="39"/>
      <c r="AT24" s="39"/>
      <c r="AU24" s="39"/>
      <c r="AV24" s="41"/>
      <c r="AW24" s="39"/>
      <c r="AX24" s="39"/>
      <c r="AY24" s="39"/>
      <c r="AZ24" s="39"/>
      <c r="BA24" s="39"/>
      <c r="BB24" s="39"/>
      <c r="BC24" s="41"/>
      <c r="BD24" s="39"/>
      <c r="BE24" s="39"/>
      <c r="BF24" s="39"/>
      <c r="BG24" s="39"/>
      <c r="BH24" s="39"/>
      <c r="BI24" s="39"/>
      <c r="BJ24" s="41"/>
      <c r="BK24" s="39"/>
      <c r="BL24" s="39"/>
      <c r="BM24" s="39"/>
      <c r="BN24" s="39"/>
      <c r="BO24" s="39"/>
      <c r="BP24" s="39"/>
      <c r="BQ24" s="41"/>
      <c r="BR24" s="39"/>
      <c r="BS24" s="39"/>
      <c r="BT24" s="39"/>
      <c r="BU24" s="39"/>
      <c r="BV24" s="39"/>
      <c r="BW24" s="39"/>
      <c r="BX24" s="41"/>
      <c r="BY24" s="39"/>
      <c r="BZ24" s="39"/>
      <c r="CA24" s="39"/>
      <c r="CB24" s="39"/>
      <c r="CC24" s="39"/>
      <c r="CD24" s="39"/>
      <c r="CE24" s="41"/>
      <c r="CF24" s="39"/>
      <c r="CG24" s="39"/>
      <c r="CH24" s="39"/>
      <c r="CI24" s="39"/>
      <c r="CJ24" s="40"/>
      <c r="CK24" s="39"/>
      <c r="CL24" s="41"/>
      <c r="CM24" s="39"/>
      <c r="CN24" s="39"/>
      <c r="CO24" s="39"/>
      <c r="CP24" s="39"/>
      <c r="CQ24" s="39"/>
      <c r="CR24" s="39"/>
      <c r="CS24" s="41"/>
      <c r="CT24" s="39"/>
      <c r="CU24" s="39"/>
      <c r="CV24" s="39"/>
      <c r="CW24" s="39"/>
      <c r="CX24" s="40"/>
      <c r="CY24" s="39"/>
      <c r="CZ24" s="40"/>
      <c r="DA24" s="40"/>
      <c r="DB24" s="39"/>
      <c r="DC24" s="39"/>
      <c r="DD24" s="39"/>
      <c r="DE24" s="39"/>
      <c r="DF24" s="39"/>
      <c r="DG24" s="41"/>
      <c r="DH24" s="39"/>
      <c r="DI24" s="39"/>
      <c r="DJ24" s="39"/>
      <c r="DK24" s="39"/>
      <c r="DL24" s="39"/>
      <c r="DM24" s="39"/>
      <c r="DN24" s="41"/>
      <c r="DO24" s="39"/>
      <c r="DP24" s="39"/>
      <c r="DQ24" s="39"/>
      <c r="DR24" s="39"/>
      <c r="DS24" s="39"/>
      <c r="DT24" s="39"/>
      <c r="DU24" s="41"/>
      <c r="DV24" s="39"/>
      <c r="DW24" s="39"/>
      <c r="DX24" s="39"/>
      <c r="DY24" s="39"/>
      <c r="DZ24" s="40"/>
      <c r="EA24" s="39"/>
      <c r="EB24" s="41"/>
      <c r="EC24" s="39"/>
      <c r="ED24" s="39"/>
      <c r="EE24" s="39"/>
      <c r="EF24" s="39"/>
      <c r="EG24" s="39"/>
      <c r="EH24" s="39"/>
      <c r="EI24" s="41"/>
      <c r="EJ24" s="39"/>
      <c r="EK24" s="39"/>
      <c r="EL24" s="39"/>
      <c r="EM24" s="39"/>
      <c r="EN24" s="39"/>
      <c r="EO24" s="39"/>
      <c r="EP24" s="41"/>
      <c r="EQ24" s="39"/>
      <c r="ER24" s="39"/>
      <c r="ES24" s="39"/>
      <c r="ET24" s="39"/>
      <c r="EU24" s="39"/>
      <c r="EV24" s="39"/>
      <c r="EW24" s="41"/>
      <c r="EX24" s="39"/>
      <c r="EY24" s="39"/>
      <c r="EZ24" s="40"/>
      <c r="FA24" s="39"/>
      <c r="FB24" s="39"/>
      <c r="FC24" s="39"/>
      <c r="FD24" s="41"/>
      <c r="FE24" s="40"/>
      <c r="FF24" s="39"/>
      <c r="FG24" s="39"/>
      <c r="FH24" s="39"/>
      <c r="FI24" s="39"/>
      <c r="FJ24" s="39"/>
      <c r="FK24" s="41"/>
      <c r="FL24" s="39"/>
      <c r="FM24" s="39"/>
      <c r="FN24" s="39"/>
      <c r="FO24" s="39"/>
      <c r="FP24" s="39"/>
      <c r="FQ24" s="39"/>
      <c r="FR24" s="41"/>
      <c r="FS24" s="39"/>
      <c r="FT24" s="39"/>
      <c r="FU24" s="39"/>
      <c r="FV24" s="39"/>
      <c r="FW24" s="39"/>
      <c r="FX24" s="39"/>
      <c r="FY24" s="41"/>
      <c r="FZ24" s="39"/>
      <c r="GA24" s="39"/>
      <c r="GB24" s="39"/>
      <c r="GC24" s="39"/>
      <c r="GD24" s="39"/>
      <c r="GE24" s="39"/>
      <c r="GF24" s="41"/>
      <c r="GG24" s="39"/>
      <c r="GH24" s="39"/>
      <c r="GI24" s="39"/>
      <c r="GJ24" s="39"/>
      <c r="GK24" s="39"/>
      <c r="GL24" s="39"/>
      <c r="GM24" s="41"/>
      <c r="GN24" s="39"/>
      <c r="GO24" s="39"/>
      <c r="GP24" s="39"/>
      <c r="GQ24" s="39"/>
      <c r="GR24" s="39"/>
      <c r="GS24" s="39"/>
      <c r="GT24" s="41"/>
      <c r="GU24" s="39"/>
      <c r="GV24" s="39"/>
      <c r="GW24" s="39"/>
      <c r="GX24" s="39"/>
      <c r="GY24" s="39"/>
      <c r="GZ24" s="39"/>
      <c r="HA24" s="41"/>
      <c r="HB24" s="39"/>
      <c r="HC24" s="39"/>
      <c r="HD24" s="39"/>
      <c r="HE24" s="39"/>
      <c r="HF24" s="39"/>
      <c r="HG24" s="39"/>
      <c r="HH24" s="41"/>
      <c r="HI24" s="39"/>
      <c r="HJ24" s="39"/>
      <c r="HK24" s="39"/>
      <c r="HL24" s="39"/>
      <c r="HM24" s="39"/>
      <c r="HN24" s="39"/>
      <c r="HO24" s="41"/>
      <c r="HP24" s="39"/>
      <c r="HQ24" s="39"/>
      <c r="HR24" s="39"/>
      <c r="HS24" s="39"/>
      <c r="HT24" s="39"/>
      <c r="HU24" s="39"/>
      <c r="HV24" s="41"/>
      <c r="HW24" s="39"/>
      <c r="HX24" s="39"/>
      <c r="HY24" s="39"/>
      <c r="HZ24" s="39"/>
      <c r="IA24" s="39"/>
      <c r="IB24" s="39"/>
      <c r="IC24" s="41"/>
      <c r="ID24" s="39"/>
      <c r="IE24" s="39"/>
      <c r="IF24" s="39"/>
      <c r="IG24" s="39"/>
      <c r="IH24" s="39"/>
      <c r="II24" s="39"/>
      <c r="IJ24" s="41"/>
      <c r="IK24" s="39"/>
      <c r="IL24" s="39"/>
      <c r="IM24" s="39"/>
      <c r="IN24" s="39"/>
      <c r="IO24" s="39"/>
      <c r="IP24" s="39"/>
      <c r="IQ24" s="41"/>
      <c r="IR24" s="39"/>
      <c r="IS24" s="39"/>
      <c r="IT24" s="39"/>
      <c r="IU24" s="39"/>
      <c r="IV24" s="39"/>
      <c r="IW24" s="39"/>
      <c r="IX24" s="41"/>
      <c r="IY24" s="39"/>
      <c r="IZ24" s="39"/>
      <c r="JA24" s="39"/>
      <c r="JB24" s="39"/>
      <c r="JC24" s="39"/>
      <c r="JD24" s="39"/>
      <c r="JE24" s="41"/>
      <c r="JF24" s="39"/>
      <c r="JG24" s="39"/>
      <c r="JH24" s="39"/>
      <c r="JI24" s="39"/>
      <c r="JJ24" s="39"/>
      <c r="JK24" s="39"/>
      <c r="JL24" s="41"/>
      <c r="JM24" s="39"/>
      <c r="JN24" s="39"/>
      <c r="JO24" s="39"/>
      <c r="JP24" s="39"/>
      <c r="JQ24" s="39"/>
      <c r="JR24" s="39"/>
      <c r="JS24" s="41"/>
      <c r="JT24" s="39"/>
      <c r="JU24" s="39"/>
      <c r="JV24" s="39"/>
      <c r="JW24" s="39"/>
      <c r="JX24" s="39"/>
      <c r="JY24" s="39"/>
      <c r="JZ24" s="41"/>
      <c r="KA24" s="39"/>
      <c r="KB24" s="39"/>
      <c r="KC24" s="39"/>
      <c r="KD24" s="39"/>
      <c r="KE24" s="39"/>
      <c r="KF24" s="40"/>
      <c r="KG24" s="41"/>
      <c r="KH24" s="39"/>
      <c r="KI24" s="39"/>
      <c r="KJ24" s="39"/>
      <c r="KK24" s="39"/>
      <c r="KL24" s="39"/>
      <c r="KM24" s="39"/>
      <c r="KN24" s="41"/>
      <c r="KO24" s="39"/>
      <c r="KP24" s="40"/>
      <c r="KQ24" s="39"/>
      <c r="KR24" s="39"/>
      <c r="KS24" s="39"/>
      <c r="KT24" s="39"/>
      <c r="KU24" s="41"/>
      <c r="KV24" s="39"/>
      <c r="KW24" s="39"/>
      <c r="KX24" s="39"/>
      <c r="KY24" s="39"/>
      <c r="KZ24" s="39"/>
      <c r="LA24" s="39"/>
      <c r="LB24" s="41"/>
      <c r="LC24" s="39"/>
      <c r="LD24" s="39"/>
      <c r="LE24" s="39"/>
      <c r="LF24" s="39"/>
      <c r="LG24" s="39"/>
      <c r="LH24" s="39"/>
      <c r="LI24" s="41"/>
      <c r="LJ24" s="39"/>
      <c r="LK24" s="39"/>
      <c r="LL24" s="39"/>
      <c r="LM24" s="39"/>
      <c r="LN24" s="39"/>
      <c r="LO24" s="39"/>
      <c r="LP24" s="41"/>
      <c r="LQ24" s="39"/>
      <c r="LR24" s="39"/>
      <c r="LS24" s="39"/>
      <c r="LT24" s="39"/>
      <c r="LU24" s="39"/>
      <c r="LV24" s="39"/>
      <c r="LW24" s="41"/>
      <c r="LX24" s="39"/>
      <c r="LY24" s="39"/>
      <c r="LZ24" s="39"/>
      <c r="MA24" s="39"/>
      <c r="MB24" s="39"/>
      <c r="MC24" s="39"/>
      <c r="MD24" s="41"/>
      <c r="ME24" s="39"/>
      <c r="MF24" s="39"/>
      <c r="MG24" s="39"/>
      <c r="MH24" s="39"/>
      <c r="MI24" s="39"/>
      <c r="MJ24" s="39"/>
      <c r="MK24" s="41"/>
      <c r="ML24" s="39"/>
      <c r="MM24" s="39"/>
      <c r="MN24" s="39"/>
      <c r="MO24" s="39"/>
      <c r="MP24" s="39"/>
      <c r="MQ24" s="40"/>
      <c r="MR24" s="41"/>
      <c r="MS24" s="39"/>
      <c r="MT24" s="39"/>
      <c r="MU24" s="39"/>
      <c r="MV24" s="39"/>
      <c r="MW24" s="39"/>
      <c r="MX24" s="39"/>
      <c r="MY24" s="41"/>
      <c r="MZ24" s="39"/>
      <c r="NA24" s="39"/>
      <c r="NB24" s="39"/>
      <c r="NC24" s="39"/>
      <c r="ND24" s="40"/>
      <c r="NE24" s="40"/>
      <c r="NF24" s="41"/>
      <c r="NG24" s="39"/>
      <c r="NH24" s="39"/>
      <c r="NI24" s="39"/>
      <c r="NJ24" s="42"/>
    </row>
    <row r="25" spans="1:374">
      <c r="A25" s="147" t="s">
        <v>436</v>
      </c>
      <c r="B25" s="51" t="s">
        <v>437</v>
      </c>
      <c r="C25" s="51" t="s">
        <v>438</v>
      </c>
      <c r="D25" s="39"/>
      <c r="E25" s="39">
        <v>21</v>
      </c>
      <c r="F25" s="39">
        <f t="shared" si="0"/>
        <v>0</v>
      </c>
      <c r="G25" s="39">
        <f t="shared" si="1"/>
        <v>21</v>
      </c>
      <c r="H25" s="39">
        <f t="shared" si="2"/>
        <v>0</v>
      </c>
      <c r="I25" s="39">
        <f t="shared" si="4"/>
        <v>21</v>
      </c>
      <c r="J25" s="40"/>
      <c r="K25" s="39"/>
      <c r="L25" s="39"/>
      <c r="M25" s="41"/>
      <c r="N25" s="39"/>
      <c r="O25" s="39"/>
      <c r="P25" s="39"/>
      <c r="Q25" s="39"/>
      <c r="R25" s="39"/>
      <c r="S25" s="39"/>
      <c r="T25" s="41"/>
      <c r="U25" s="39"/>
      <c r="V25" s="39"/>
      <c r="W25" s="39"/>
      <c r="X25" s="39"/>
      <c r="Y25" s="39"/>
      <c r="Z25" s="39"/>
      <c r="AA25" s="41"/>
      <c r="AB25" s="39"/>
      <c r="AC25" s="39"/>
      <c r="AD25" s="39"/>
      <c r="AE25" s="39"/>
      <c r="AF25" s="39"/>
      <c r="AG25" s="39"/>
      <c r="AH25" s="41"/>
      <c r="AI25" s="39"/>
      <c r="AJ25" s="39"/>
      <c r="AK25" s="39"/>
      <c r="AL25" s="39"/>
      <c r="AM25" s="39"/>
      <c r="AN25" s="39"/>
      <c r="AO25" s="41"/>
      <c r="AP25" s="39"/>
      <c r="AQ25" s="39"/>
      <c r="AR25" s="39"/>
      <c r="AS25" s="39"/>
      <c r="AT25" s="39"/>
      <c r="AU25" s="39"/>
      <c r="AV25" s="41"/>
      <c r="AW25" s="39"/>
      <c r="AX25" s="39"/>
      <c r="AY25" s="39"/>
      <c r="AZ25" s="39"/>
      <c r="BA25" s="39"/>
      <c r="BB25" s="39"/>
      <c r="BC25" s="41"/>
      <c r="BD25" s="39"/>
      <c r="BE25" s="39"/>
      <c r="BF25" s="39"/>
      <c r="BG25" s="39"/>
      <c r="BH25" s="39"/>
      <c r="BI25" s="39"/>
      <c r="BJ25" s="41"/>
      <c r="BK25" s="39"/>
      <c r="BL25" s="39"/>
      <c r="BM25" s="39"/>
      <c r="BN25" s="39"/>
      <c r="BO25" s="39"/>
      <c r="BP25" s="39"/>
      <c r="BQ25" s="41"/>
      <c r="BR25" s="39"/>
      <c r="BS25" s="39"/>
      <c r="BT25" s="39"/>
      <c r="BU25" s="39"/>
      <c r="BV25" s="39"/>
      <c r="BW25" s="39"/>
      <c r="BX25" s="41"/>
      <c r="BY25" s="39"/>
      <c r="BZ25" s="39"/>
      <c r="CA25" s="39"/>
      <c r="CB25" s="39"/>
      <c r="CC25" s="39"/>
      <c r="CD25" s="39"/>
      <c r="CE25" s="41"/>
      <c r="CF25" s="39"/>
      <c r="CG25" s="39"/>
      <c r="CH25" s="39"/>
      <c r="CI25" s="39"/>
      <c r="CJ25" s="40"/>
      <c r="CK25" s="39"/>
      <c r="CL25" s="41"/>
      <c r="CM25" s="39"/>
      <c r="CN25" s="39"/>
      <c r="CO25" s="39"/>
      <c r="CP25" s="39"/>
      <c r="CQ25" s="39"/>
      <c r="CR25" s="39"/>
      <c r="CS25" s="41"/>
      <c r="CT25" s="39"/>
      <c r="CU25" s="39"/>
      <c r="CV25" s="39"/>
      <c r="CW25" s="39"/>
      <c r="CX25" s="40"/>
      <c r="CY25" s="39"/>
      <c r="CZ25" s="40"/>
      <c r="DA25" s="40"/>
      <c r="DB25" s="39"/>
      <c r="DC25" s="39"/>
      <c r="DD25" s="39"/>
      <c r="DE25" s="39"/>
      <c r="DF25" s="39"/>
      <c r="DG25" s="41"/>
      <c r="DH25" s="39"/>
      <c r="DI25" s="39"/>
      <c r="DJ25" s="39"/>
      <c r="DK25" s="39"/>
      <c r="DL25" s="39"/>
      <c r="DM25" s="39"/>
      <c r="DN25" s="41"/>
      <c r="DO25" s="39"/>
      <c r="DP25" s="39"/>
      <c r="DQ25" s="39"/>
      <c r="DR25" s="39"/>
      <c r="DS25" s="39"/>
      <c r="DT25" s="39"/>
      <c r="DU25" s="41"/>
      <c r="DV25" s="39"/>
      <c r="DW25" s="39"/>
      <c r="DX25" s="39"/>
      <c r="DY25" s="39"/>
      <c r="DZ25" s="40"/>
      <c r="EA25" s="39"/>
      <c r="EB25" s="41"/>
      <c r="EC25" s="39"/>
      <c r="ED25" s="39"/>
      <c r="EE25" s="39"/>
      <c r="EF25" s="39"/>
      <c r="EG25" s="39"/>
      <c r="EH25" s="39"/>
      <c r="EI25" s="41"/>
      <c r="EJ25" s="39"/>
      <c r="EK25" s="39"/>
      <c r="EL25" s="39"/>
      <c r="EM25" s="39"/>
      <c r="EN25" s="39"/>
      <c r="EO25" s="39"/>
      <c r="EP25" s="41"/>
      <c r="EQ25" s="39"/>
      <c r="ER25" s="39"/>
      <c r="ES25" s="39"/>
      <c r="ET25" s="39"/>
      <c r="EU25" s="39"/>
      <c r="EV25" s="39"/>
      <c r="EW25" s="41"/>
      <c r="EX25" s="39"/>
      <c r="EY25" s="39"/>
      <c r="EZ25" s="40"/>
      <c r="FA25" s="39"/>
      <c r="FB25" s="39"/>
      <c r="FC25" s="39"/>
      <c r="FD25" s="41"/>
      <c r="FE25" s="40"/>
      <c r="FF25" s="39"/>
      <c r="FG25" s="39"/>
      <c r="FH25" s="39"/>
      <c r="FI25" s="39"/>
      <c r="FJ25" s="39"/>
      <c r="FK25" s="41"/>
      <c r="FL25" s="39"/>
      <c r="FM25" s="39"/>
      <c r="FN25" s="39"/>
      <c r="FO25" s="39"/>
      <c r="FP25" s="39"/>
      <c r="FQ25" s="39"/>
      <c r="FR25" s="41"/>
      <c r="FS25" s="39"/>
      <c r="FT25" s="39"/>
      <c r="FU25" s="39"/>
      <c r="FV25" s="39"/>
      <c r="FW25" s="39"/>
      <c r="FX25" s="39"/>
      <c r="FY25" s="41"/>
      <c r="FZ25" s="39"/>
      <c r="GA25" s="39"/>
      <c r="GB25" s="39"/>
      <c r="GC25" s="39"/>
      <c r="GD25" s="39"/>
      <c r="GE25" s="39"/>
      <c r="GF25" s="41"/>
      <c r="GG25" s="39"/>
      <c r="GH25" s="39"/>
      <c r="GI25" s="39"/>
      <c r="GJ25" s="39"/>
      <c r="GK25" s="39"/>
      <c r="GL25" s="39"/>
      <c r="GM25" s="41"/>
      <c r="GN25" s="39"/>
      <c r="GO25" s="39"/>
      <c r="GP25" s="39"/>
      <c r="GQ25" s="39"/>
      <c r="GR25" s="39"/>
      <c r="GS25" s="39"/>
      <c r="GT25" s="41"/>
      <c r="GU25" s="39"/>
      <c r="GV25" s="39"/>
      <c r="GW25" s="39"/>
      <c r="GX25" s="39"/>
      <c r="GY25" s="39"/>
      <c r="GZ25" s="39"/>
      <c r="HA25" s="41"/>
      <c r="HB25" s="39"/>
      <c r="HC25" s="39"/>
      <c r="HD25" s="39"/>
      <c r="HE25" s="39"/>
      <c r="HF25" s="39"/>
      <c r="HG25" s="39"/>
      <c r="HH25" s="41"/>
      <c r="HI25" s="39"/>
      <c r="HJ25" s="39"/>
      <c r="HK25" s="39"/>
      <c r="HL25" s="39"/>
      <c r="HM25" s="39"/>
      <c r="HN25" s="39"/>
      <c r="HO25" s="41"/>
      <c r="HP25" s="39"/>
      <c r="HQ25" s="39"/>
      <c r="HR25" s="39"/>
      <c r="HS25" s="39"/>
      <c r="HT25" s="39"/>
      <c r="HU25" s="39"/>
      <c r="HV25" s="41"/>
      <c r="HW25" s="39"/>
      <c r="HX25" s="39"/>
      <c r="HY25" s="39"/>
      <c r="HZ25" s="39"/>
      <c r="IA25" s="39"/>
      <c r="IB25" s="39"/>
      <c r="IC25" s="41"/>
      <c r="ID25" s="39"/>
      <c r="IE25" s="39"/>
      <c r="IF25" s="39"/>
      <c r="IG25" s="39"/>
      <c r="IH25" s="39"/>
      <c r="II25" s="39"/>
      <c r="IJ25" s="41"/>
      <c r="IK25" s="39"/>
      <c r="IL25" s="39"/>
      <c r="IM25" s="39"/>
      <c r="IN25" s="39"/>
      <c r="IO25" s="39"/>
      <c r="IP25" s="39"/>
      <c r="IQ25" s="41"/>
      <c r="IR25" s="39"/>
      <c r="IS25" s="39"/>
      <c r="IT25" s="39"/>
      <c r="IU25" s="39"/>
      <c r="IV25" s="39"/>
      <c r="IW25" s="39"/>
      <c r="IX25" s="41"/>
      <c r="IY25" s="39"/>
      <c r="IZ25" s="39"/>
      <c r="JA25" s="39"/>
      <c r="JB25" s="39"/>
      <c r="JC25" s="39"/>
      <c r="JD25" s="39"/>
      <c r="JE25" s="41"/>
      <c r="JF25" s="39"/>
      <c r="JG25" s="39"/>
      <c r="JH25" s="39"/>
      <c r="JI25" s="39"/>
      <c r="JJ25" s="39"/>
      <c r="JK25" s="39"/>
      <c r="JL25" s="41"/>
      <c r="JM25" s="39"/>
      <c r="JN25" s="39"/>
      <c r="JO25" s="39"/>
      <c r="JP25" s="39"/>
      <c r="JQ25" s="39"/>
      <c r="JR25" s="39"/>
      <c r="JS25" s="41"/>
      <c r="JT25" s="39"/>
      <c r="JU25" s="39"/>
      <c r="JV25" s="39"/>
      <c r="JW25" s="39"/>
      <c r="JX25" s="39"/>
      <c r="JY25" s="39"/>
      <c r="JZ25" s="41"/>
      <c r="KA25" s="39"/>
      <c r="KB25" s="39"/>
      <c r="KC25" s="39"/>
      <c r="KD25" s="39"/>
      <c r="KE25" s="39"/>
      <c r="KF25" s="40"/>
      <c r="KG25" s="41"/>
      <c r="KH25" s="39"/>
      <c r="KI25" s="39"/>
      <c r="KJ25" s="39"/>
      <c r="KK25" s="39"/>
      <c r="KL25" s="39"/>
      <c r="KM25" s="39"/>
      <c r="KN25" s="41"/>
      <c r="KO25" s="39"/>
      <c r="KP25" s="40"/>
      <c r="KQ25" s="39"/>
      <c r="KR25" s="39"/>
      <c r="KS25" s="39"/>
      <c r="KT25" s="39"/>
      <c r="KU25" s="41"/>
      <c r="KV25" s="39"/>
      <c r="KW25" s="39"/>
      <c r="KX25" s="39"/>
      <c r="KY25" s="39"/>
      <c r="KZ25" s="39"/>
      <c r="LA25" s="39"/>
      <c r="LB25" s="41"/>
      <c r="LC25" s="39"/>
      <c r="LD25" s="39"/>
      <c r="LE25" s="39"/>
      <c r="LF25" s="39"/>
      <c r="LG25" s="39"/>
      <c r="LH25" s="39"/>
      <c r="LI25" s="41"/>
      <c r="LJ25" s="39"/>
      <c r="LK25" s="39"/>
      <c r="LL25" s="39"/>
      <c r="LM25" s="39"/>
      <c r="LN25" s="39"/>
      <c r="LO25" s="39"/>
      <c r="LP25" s="41"/>
      <c r="LQ25" s="39"/>
      <c r="LR25" s="39"/>
      <c r="LS25" s="39"/>
      <c r="LT25" s="39"/>
      <c r="LU25" s="39"/>
      <c r="LV25" s="39"/>
      <c r="LW25" s="41"/>
      <c r="LX25" s="39"/>
      <c r="LY25" s="39"/>
      <c r="LZ25" s="39"/>
      <c r="MA25" s="39"/>
      <c r="MB25" s="39"/>
      <c r="MC25" s="39"/>
      <c r="MD25" s="41"/>
      <c r="ME25" s="39"/>
      <c r="MF25" s="39"/>
      <c r="MG25" s="39"/>
      <c r="MH25" s="39"/>
      <c r="MI25" s="39"/>
      <c r="MJ25" s="39"/>
      <c r="MK25" s="41"/>
      <c r="ML25" s="39"/>
      <c r="MM25" s="39"/>
      <c r="MN25" s="39"/>
      <c r="MO25" s="39"/>
      <c r="MP25" s="39"/>
      <c r="MQ25" s="40"/>
      <c r="MR25" s="41"/>
      <c r="MS25" s="39"/>
      <c r="MT25" s="39"/>
      <c r="MU25" s="39"/>
      <c r="MV25" s="39"/>
      <c r="MW25" s="39"/>
      <c r="MX25" s="39"/>
      <c r="MY25" s="41"/>
      <c r="MZ25" s="39"/>
      <c r="NA25" s="39"/>
      <c r="NB25" s="39"/>
      <c r="NC25" s="39"/>
      <c r="ND25" s="40"/>
      <c r="NE25" s="40"/>
      <c r="NF25" s="41"/>
      <c r="NG25" s="39"/>
      <c r="NH25" s="39"/>
      <c r="NI25" s="39"/>
      <c r="NJ25" s="42"/>
    </row>
    <row r="26" spans="1:374">
      <c r="A26" s="145" t="s">
        <v>113</v>
      </c>
      <c r="B26" s="53" t="s">
        <v>439</v>
      </c>
      <c r="C26" s="38" t="s">
        <v>440</v>
      </c>
      <c r="D26" s="39"/>
      <c r="E26" s="39">
        <v>21</v>
      </c>
      <c r="F26" s="39">
        <f t="shared" si="0"/>
        <v>0</v>
      </c>
      <c r="G26" s="39">
        <f t="shared" si="1"/>
        <v>21</v>
      </c>
      <c r="H26" s="39">
        <f t="shared" si="2"/>
        <v>0</v>
      </c>
      <c r="I26" s="39">
        <f t="shared" si="4"/>
        <v>21</v>
      </c>
      <c r="J26" s="40"/>
      <c r="K26" s="39"/>
      <c r="L26" s="39"/>
      <c r="M26" s="41"/>
      <c r="N26" s="39"/>
      <c r="O26" s="39"/>
      <c r="P26" s="39"/>
      <c r="Q26" s="39"/>
      <c r="R26" s="39"/>
      <c r="S26" s="39"/>
      <c r="T26" s="41"/>
      <c r="U26" s="39"/>
      <c r="V26" s="39"/>
      <c r="W26" s="39"/>
      <c r="X26" s="39"/>
      <c r="Y26" s="39"/>
      <c r="Z26" s="39"/>
      <c r="AA26" s="41"/>
      <c r="AB26" s="39"/>
      <c r="AC26" s="39"/>
      <c r="AD26" s="39"/>
      <c r="AE26" s="39"/>
      <c r="AF26" s="39"/>
      <c r="AG26" s="39"/>
      <c r="AH26" s="41"/>
      <c r="AI26" s="39"/>
      <c r="AJ26" s="39"/>
      <c r="AK26" s="39"/>
      <c r="AL26" s="39"/>
      <c r="AM26" s="39"/>
      <c r="AN26" s="39"/>
      <c r="AO26" s="41"/>
      <c r="AP26" s="39"/>
      <c r="AQ26" s="39"/>
      <c r="AR26" s="39"/>
      <c r="AS26" s="39"/>
      <c r="AT26" s="39"/>
      <c r="AU26" s="39"/>
      <c r="AV26" s="41"/>
      <c r="AW26" s="39"/>
      <c r="AX26" s="39"/>
      <c r="AY26" s="39"/>
      <c r="AZ26" s="39"/>
      <c r="BA26" s="39"/>
      <c r="BB26" s="39"/>
      <c r="BC26" s="41"/>
      <c r="BD26" s="39"/>
      <c r="BE26" s="39"/>
      <c r="BF26" s="39"/>
      <c r="BG26" s="39"/>
      <c r="BH26" s="39"/>
      <c r="BI26" s="39"/>
      <c r="BJ26" s="41"/>
      <c r="BK26" s="39"/>
      <c r="BL26" s="39"/>
      <c r="BM26" s="39"/>
      <c r="BN26" s="39"/>
      <c r="BO26" s="39"/>
      <c r="BP26" s="39"/>
      <c r="BQ26" s="41"/>
      <c r="BR26" s="39"/>
      <c r="BS26" s="39"/>
      <c r="BT26" s="39"/>
      <c r="BU26" s="39"/>
      <c r="BV26" s="39"/>
      <c r="BW26" s="39"/>
      <c r="BX26" s="41"/>
      <c r="BY26" s="39"/>
      <c r="BZ26" s="39"/>
      <c r="CA26" s="39"/>
      <c r="CB26" s="39"/>
      <c r="CC26" s="39"/>
      <c r="CD26" s="39"/>
      <c r="CE26" s="41"/>
      <c r="CF26" s="39"/>
      <c r="CG26" s="39"/>
      <c r="CH26" s="39"/>
      <c r="CI26" s="39"/>
      <c r="CJ26" s="40"/>
      <c r="CK26" s="39"/>
      <c r="CL26" s="41"/>
      <c r="CM26" s="39"/>
      <c r="CN26" s="39"/>
      <c r="CO26" s="39"/>
      <c r="CP26" s="39"/>
      <c r="CQ26" s="39"/>
      <c r="CR26" s="39"/>
      <c r="CS26" s="41"/>
      <c r="CT26" s="39"/>
      <c r="CU26" s="39"/>
      <c r="CV26" s="39"/>
      <c r="CW26" s="39"/>
      <c r="CX26" s="40"/>
      <c r="CY26" s="39"/>
      <c r="CZ26" s="40"/>
      <c r="DA26" s="40"/>
      <c r="DB26" s="39"/>
      <c r="DC26" s="39"/>
      <c r="DD26" s="39"/>
      <c r="DE26" s="39"/>
      <c r="DF26" s="39"/>
      <c r="DG26" s="41"/>
      <c r="DH26" s="39"/>
      <c r="DI26" s="39"/>
      <c r="DJ26" s="39"/>
      <c r="DK26" s="39"/>
      <c r="DL26" s="39"/>
      <c r="DM26" s="39"/>
      <c r="DN26" s="41"/>
      <c r="DO26" s="39"/>
      <c r="DP26" s="39"/>
      <c r="DQ26" s="39"/>
      <c r="DR26" s="39"/>
      <c r="DS26" s="39"/>
      <c r="DT26" s="39"/>
      <c r="DU26" s="41"/>
      <c r="DV26" s="39"/>
      <c r="DW26" s="39"/>
      <c r="DX26" s="39"/>
      <c r="DY26" s="39"/>
      <c r="DZ26" s="40"/>
      <c r="EA26" s="39"/>
      <c r="EB26" s="41"/>
      <c r="EC26" s="39"/>
      <c r="ED26" s="39"/>
      <c r="EE26" s="39"/>
      <c r="EF26" s="39"/>
      <c r="EG26" s="39"/>
      <c r="EH26" s="39"/>
      <c r="EI26" s="41"/>
      <c r="EJ26" s="39"/>
      <c r="EK26" s="39"/>
      <c r="EL26" s="39"/>
      <c r="EM26" s="39"/>
      <c r="EN26" s="39"/>
      <c r="EO26" s="39"/>
      <c r="EP26" s="41"/>
      <c r="EQ26" s="39"/>
      <c r="ER26" s="39"/>
      <c r="ES26" s="39"/>
      <c r="ET26" s="39"/>
      <c r="EU26" s="39"/>
      <c r="EV26" s="39"/>
      <c r="EW26" s="41"/>
      <c r="EX26" s="39"/>
      <c r="EY26" s="39"/>
      <c r="EZ26" s="40"/>
      <c r="FA26" s="39"/>
      <c r="FB26" s="39"/>
      <c r="FC26" s="39"/>
      <c r="FD26" s="41"/>
      <c r="FE26" s="40"/>
      <c r="FF26" s="39"/>
      <c r="FG26" s="39"/>
      <c r="FH26" s="39"/>
      <c r="FI26" s="39"/>
      <c r="FJ26" s="39"/>
      <c r="FK26" s="41"/>
      <c r="FL26" s="39"/>
      <c r="FM26" s="39"/>
      <c r="FN26" s="39"/>
      <c r="FO26" s="39"/>
      <c r="FP26" s="39"/>
      <c r="FQ26" s="39"/>
      <c r="FR26" s="41"/>
      <c r="FS26" s="39"/>
      <c r="FT26" s="39"/>
      <c r="FU26" s="39"/>
      <c r="FV26" s="39"/>
      <c r="FW26" s="39"/>
      <c r="FX26" s="39"/>
      <c r="FY26" s="41"/>
      <c r="FZ26" s="39"/>
      <c r="GA26" s="39"/>
      <c r="GB26" s="39"/>
      <c r="GC26" s="39"/>
      <c r="GD26" s="39"/>
      <c r="GE26" s="39"/>
      <c r="GF26" s="41"/>
      <c r="GG26" s="39"/>
      <c r="GH26" s="39"/>
      <c r="GI26" s="39"/>
      <c r="GJ26" s="39"/>
      <c r="GK26" s="39"/>
      <c r="GL26" s="39"/>
      <c r="GM26" s="41"/>
      <c r="GN26" s="39"/>
      <c r="GO26" s="39"/>
      <c r="GP26" s="39"/>
      <c r="GQ26" s="39"/>
      <c r="GR26" s="39"/>
      <c r="GS26" s="39"/>
      <c r="GT26" s="41"/>
      <c r="GU26" s="39"/>
      <c r="GV26" s="39"/>
      <c r="GW26" s="39"/>
      <c r="GX26" s="39"/>
      <c r="GY26" s="39"/>
      <c r="GZ26" s="39"/>
      <c r="HA26" s="41"/>
      <c r="HB26" s="39"/>
      <c r="HC26" s="39"/>
      <c r="HD26" s="39"/>
      <c r="HE26" s="39"/>
      <c r="HF26" s="39"/>
      <c r="HG26" s="39"/>
      <c r="HH26" s="41"/>
      <c r="HI26" s="39"/>
      <c r="HJ26" s="39"/>
      <c r="HK26" s="39"/>
      <c r="HL26" s="39"/>
      <c r="HM26" s="39"/>
      <c r="HN26" s="39"/>
      <c r="HO26" s="41"/>
      <c r="HP26" s="39"/>
      <c r="HQ26" s="39"/>
      <c r="HR26" s="39"/>
      <c r="HS26" s="39"/>
      <c r="HT26" s="39"/>
      <c r="HU26" s="39"/>
      <c r="HV26" s="41"/>
      <c r="HW26" s="39"/>
      <c r="HX26" s="39"/>
      <c r="HY26" s="39"/>
      <c r="HZ26" s="39"/>
      <c r="IA26" s="39"/>
      <c r="IB26" s="39"/>
      <c r="IC26" s="41"/>
      <c r="ID26" s="39"/>
      <c r="IE26" s="39"/>
      <c r="IF26" s="39"/>
      <c r="IG26" s="39"/>
      <c r="IH26" s="39"/>
      <c r="II26" s="39"/>
      <c r="IJ26" s="41"/>
      <c r="IK26" s="39"/>
      <c r="IL26" s="39"/>
      <c r="IM26" s="39"/>
      <c r="IN26" s="39"/>
      <c r="IO26" s="39"/>
      <c r="IP26" s="39"/>
      <c r="IQ26" s="41"/>
      <c r="IR26" s="39"/>
      <c r="IS26" s="39"/>
      <c r="IT26" s="39"/>
      <c r="IU26" s="39"/>
      <c r="IV26" s="39"/>
      <c r="IW26" s="39"/>
      <c r="IX26" s="41"/>
      <c r="IY26" s="39"/>
      <c r="IZ26" s="39"/>
      <c r="JA26" s="39"/>
      <c r="JB26" s="39"/>
      <c r="JC26" s="39"/>
      <c r="JD26" s="39"/>
      <c r="JE26" s="41"/>
      <c r="JF26" s="39"/>
      <c r="JG26" s="39"/>
      <c r="JH26" s="39"/>
      <c r="JI26" s="39"/>
      <c r="JJ26" s="39"/>
      <c r="JK26" s="39"/>
      <c r="JL26" s="41"/>
      <c r="JM26" s="39"/>
      <c r="JN26" s="39"/>
      <c r="JO26" s="39"/>
      <c r="JP26" s="39"/>
      <c r="JQ26" s="39"/>
      <c r="JR26" s="39"/>
      <c r="JS26" s="41"/>
      <c r="JT26" s="39"/>
      <c r="JU26" s="39"/>
      <c r="JV26" s="39"/>
      <c r="JW26" s="39"/>
      <c r="JX26" s="39"/>
      <c r="JY26" s="39"/>
      <c r="JZ26" s="41"/>
      <c r="KA26" s="39"/>
      <c r="KB26" s="39"/>
      <c r="KC26" s="39"/>
      <c r="KD26" s="39"/>
      <c r="KE26" s="39"/>
      <c r="KF26" s="40"/>
      <c r="KG26" s="41"/>
      <c r="KH26" s="39"/>
      <c r="KI26" s="39"/>
      <c r="KJ26" s="39"/>
      <c r="KK26" s="39"/>
      <c r="KL26" s="39"/>
      <c r="KM26" s="39"/>
      <c r="KN26" s="41"/>
      <c r="KO26" s="39"/>
      <c r="KP26" s="40"/>
      <c r="KQ26" s="39"/>
      <c r="KR26" s="39"/>
      <c r="KS26" s="39"/>
      <c r="KT26" s="39"/>
      <c r="KU26" s="41"/>
      <c r="KV26" s="39"/>
      <c r="KW26" s="39"/>
      <c r="KX26" s="39"/>
      <c r="KY26" s="39"/>
      <c r="KZ26" s="39"/>
      <c r="LA26" s="39"/>
      <c r="LB26" s="41"/>
      <c r="LC26" s="39"/>
      <c r="LD26" s="39"/>
      <c r="LE26" s="39"/>
      <c r="LF26" s="39"/>
      <c r="LG26" s="39"/>
      <c r="LH26" s="39"/>
      <c r="LI26" s="41"/>
      <c r="LJ26" s="39"/>
      <c r="LK26" s="39"/>
      <c r="LL26" s="39"/>
      <c r="LM26" s="39"/>
      <c r="LN26" s="39"/>
      <c r="LO26" s="39"/>
      <c r="LP26" s="41"/>
      <c r="LQ26" s="39"/>
      <c r="LR26" s="39"/>
      <c r="LS26" s="39"/>
      <c r="LT26" s="39"/>
      <c r="LU26" s="39"/>
      <c r="LV26" s="39"/>
      <c r="LW26" s="41"/>
      <c r="LX26" s="39"/>
      <c r="LY26" s="39"/>
      <c r="LZ26" s="39"/>
      <c r="MA26" s="39"/>
      <c r="MB26" s="39"/>
      <c r="MC26" s="39"/>
      <c r="MD26" s="41"/>
      <c r="ME26" s="39"/>
      <c r="MF26" s="39"/>
      <c r="MG26" s="39"/>
      <c r="MH26" s="39"/>
      <c r="MI26" s="39"/>
      <c r="MJ26" s="39"/>
      <c r="MK26" s="41"/>
      <c r="ML26" s="39"/>
      <c r="MM26" s="39"/>
      <c r="MN26" s="39"/>
      <c r="MO26" s="39"/>
      <c r="MP26" s="39"/>
      <c r="MQ26" s="40"/>
      <c r="MR26" s="41"/>
      <c r="MS26" s="39"/>
      <c r="MT26" s="39"/>
      <c r="MU26" s="39"/>
      <c r="MV26" s="39"/>
      <c r="MW26" s="39"/>
      <c r="MX26" s="39"/>
      <c r="MY26" s="41"/>
      <c r="MZ26" s="39"/>
      <c r="NA26" s="39"/>
      <c r="NB26" s="39"/>
      <c r="NC26" s="39"/>
      <c r="ND26" s="40"/>
      <c r="NE26" s="40"/>
      <c r="NF26" s="41"/>
      <c r="NG26" s="39"/>
      <c r="NH26" s="39"/>
      <c r="NI26" s="39"/>
      <c r="NJ26" s="42"/>
    </row>
    <row r="27" spans="1:374">
      <c r="A27" s="145" t="s">
        <v>121</v>
      </c>
      <c r="B27" s="38" t="s">
        <v>56</v>
      </c>
      <c r="C27" s="38" t="s">
        <v>418</v>
      </c>
      <c r="D27" s="39"/>
      <c r="E27" s="39">
        <v>21</v>
      </c>
      <c r="F27" s="39">
        <f t="shared" si="0"/>
        <v>0</v>
      </c>
      <c r="G27" s="39">
        <f t="shared" si="1"/>
        <v>21</v>
      </c>
      <c r="H27" s="39">
        <f t="shared" si="2"/>
        <v>0</v>
      </c>
      <c r="I27" s="39">
        <f t="shared" si="4"/>
        <v>21</v>
      </c>
      <c r="J27" s="40"/>
      <c r="K27" s="39"/>
      <c r="L27" s="39"/>
      <c r="M27" s="41"/>
      <c r="N27" s="39"/>
      <c r="O27" s="39"/>
      <c r="P27" s="39"/>
      <c r="Q27" s="39"/>
      <c r="R27" s="39"/>
      <c r="S27" s="39"/>
      <c r="T27" s="41"/>
      <c r="U27" s="39"/>
      <c r="V27" s="39"/>
      <c r="W27" s="39"/>
      <c r="X27" s="39"/>
      <c r="Y27" s="39"/>
      <c r="Z27" s="39"/>
      <c r="AA27" s="41"/>
      <c r="AB27" s="39"/>
      <c r="AC27" s="39"/>
      <c r="AD27" s="39"/>
      <c r="AE27" s="39"/>
      <c r="AF27" s="39"/>
      <c r="AG27" s="39"/>
      <c r="AH27" s="41"/>
      <c r="AI27" s="39"/>
      <c r="AJ27" s="39"/>
      <c r="AK27" s="39"/>
      <c r="AL27" s="39"/>
      <c r="AM27" s="39"/>
      <c r="AN27" s="39"/>
      <c r="AO27" s="41"/>
      <c r="AP27" s="39"/>
      <c r="AQ27" s="39"/>
      <c r="AR27" s="39"/>
      <c r="AS27" s="39"/>
      <c r="AT27" s="39"/>
      <c r="AU27" s="39"/>
      <c r="AV27" s="41"/>
      <c r="AW27" s="39"/>
      <c r="AX27" s="39"/>
      <c r="AY27" s="39"/>
      <c r="AZ27" s="39"/>
      <c r="BA27" s="39"/>
      <c r="BB27" s="39"/>
      <c r="BC27" s="41"/>
      <c r="BD27" s="39"/>
      <c r="BE27" s="39"/>
      <c r="BF27" s="39"/>
      <c r="BG27" s="39"/>
      <c r="BH27" s="39"/>
      <c r="BI27" s="39"/>
      <c r="BJ27" s="41"/>
      <c r="BK27" s="39"/>
      <c r="BL27" s="39"/>
      <c r="BM27" s="39"/>
      <c r="BN27" s="39"/>
      <c r="BO27" s="39"/>
      <c r="BP27" s="39"/>
      <c r="BQ27" s="41"/>
      <c r="BR27" s="39"/>
      <c r="BS27" s="39"/>
      <c r="BT27" s="39"/>
      <c r="BU27" s="39"/>
      <c r="BV27" s="39"/>
      <c r="BW27" s="39"/>
      <c r="BX27" s="41"/>
      <c r="BY27" s="39"/>
      <c r="BZ27" s="39"/>
      <c r="CA27" s="39"/>
      <c r="CB27" s="39"/>
      <c r="CC27" s="39"/>
      <c r="CD27" s="39"/>
      <c r="CE27" s="41"/>
      <c r="CF27" s="39"/>
      <c r="CG27" s="39"/>
      <c r="CH27" s="39"/>
      <c r="CI27" s="39"/>
      <c r="CJ27" s="40"/>
      <c r="CK27" s="39"/>
      <c r="CL27" s="41"/>
      <c r="CM27" s="39"/>
      <c r="CN27" s="39"/>
      <c r="CO27" s="39"/>
      <c r="CP27" s="39"/>
      <c r="CQ27" s="39"/>
      <c r="CR27" s="39"/>
      <c r="CS27" s="41"/>
      <c r="CT27" s="39"/>
      <c r="CU27" s="39"/>
      <c r="CV27" s="39"/>
      <c r="CW27" s="39"/>
      <c r="CX27" s="40"/>
      <c r="CY27" s="39"/>
      <c r="CZ27" s="40"/>
      <c r="DA27" s="40"/>
      <c r="DB27" s="39"/>
      <c r="DC27" s="39"/>
      <c r="DD27" s="39"/>
      <c r="DE27" s="39"/>
      <c r="DF27" s="39"/>
      <c r="DG27" s="41"/>
      <c r="DH27" s="39"/>
      <c r="DI27" s="39"/>
      <c r="DJ27" s="39"/>
      <c r="DK27" s="39"/>
      <c r="DL27" s="39"/>
      <c r="DM27" s="39"/>
      <c r="DN27" s="41"/>
      <c r="DO27" s="39"/>
      <c r="DP27" s="39"/>
      <c r="DQ27" s="39"/>
      <c r="DR27" s="39"/>
      <c r="DS27" s="39"/>
      <c r="DT27" s="39"/>
      <c r="DU27" s="41"/>
      <c r="DV27" s="39"/>
      <c r="DW27" s="39"/>
      <c r="DX27" s="39"/>
      <c r="DY27" s="39"/>
      <c r="DZ27" s="40"/>
      <c r="EA27" s="39"/>
      <c r="EB27" s="41"/>
      <c r="EC27" s="39"/>
      <c r="ED27" s="39"/>
      <c r="EE27" s="39"/>
      <c r="EF27" s="39"/>
      <c r="EG27" s="39"/>
      <c r="EH27" s="39"/>
      <c r="EI27" s="41"/>
      <c r="EJ27" s="39"/>
      <c r="EK27" s="39"/>
      <c r="EL27" s="39"/>
      <c r="EM27" s="39"/>
      <c r="EN27" s="39"/>
      <c r="EO27" s="39"/>
      <c r="EP27" s="41"/>
      <c r="EQ27" s="39"/>
      <c r="ER27" s="39"/>
      <c r="ES27" s="39"/>
      <c r="ET27" s="39"/>
      <c r="EU27" s="39"/>
      <c r="EV27" s="39"/>
      <c r="EW27" s="41"/>
      <c r="EX27" s="39"/>
      <c r="EY27" s="39"/>
      <c r="EZ27" s="40"/>
      <c r="FA27" s="39"/>
      <c r="FB27" s="39"/>
      <c r="FC27" s="39"/>
      <c r="FD27" s="41"/>
      <c r="FE27" s="40"/>
      <c r="FF27" s="39"/>
      <c r="FG27" s="39"/>
      <c r="FH27" s="39"/>
      <c r="FI27" s="39"/>
      <c r="FJ27" s="39"/>
      <c r="FK27" s="41"/>
      <c r="FL27" s="39"/>
      <c r="FM27" s="39"/>
      <c r="FN27" s="39"/>
      <c r="FO27" s="39"/>
      <c r="FP27" s="39"/>
      <c r="FQ27" s="39"/>
      <c r="FR27" s="41"/>
      <c r="FS27" s="39"/>
      <c r="FT27" s="39"/>
      <c r="FU27" s="39"/>
      <c r="FV27" s="39"/>
      <c r="FW27" s="39"/>
      <c r="FX27" s="39"/>
      <c r="FY27" s="41"/>
      <c r="FZ27" s="39"/>
      <c r="GA27" s="39"/>
      <c r="GB27" s="39"/>
      <c r="GC27" s="39"/>
      <c r="GD27" s="39"/>
      <c r="GE27" s="39"/>
      <c r="GF27" s="41"/>
      <c r="GG27" s="39"/>
      <c r="GH27" s="39"/>
      <c r="GI27" s="39"/>
      <c r="GJ27" s="39"/>
      <c r="GK27" s="39"/>
      <c r="GL27" s="39"/>
      <c r="GM27" s="41"/>
      <c r="GN27" s="39"/>
      <c r="GO27" s="39"/>
      <c r="GP27" s="39"/>
      <c r="GQ27" s="39"/>
      <c r="GR27" s="39"/>
      <c r="GS27" s="39"/>
      <c r="GT27" s="41"/>
      <c r="GU27" s="39"/>
      <c r="GV27" s="39"/>
      <c r="GW27" s="39"/>
      <c r="GX27" s="39"/>
      <c r="GY27" s="39"/>
      <c r="GZ27" s="39"/>
      <c r="HA27" s="41"/>
      <c r="HB27" s="39"/>
      <c r="HC27" s="39"/>
      <c r="HD27" s="39"/>
      <c r="HE27" s="39"/>
      <c r="HF27" s="39"/>
      <c r="HG27" s="39"/>
      <c r="HH27" s="41"/>
      <c r="HI27" s="39"/>
      <c r="HJ27" s="39"/>
      <c r="HK27" s="39"/>
      <c r="HL27" s="39"/>
      <c r="HM27" s="39"/>
      <c r="HN27" s="39"/>
      <c r="HO27" s="41"/>
      <c r="HP27" s="39"/>
      <c r="HQ27" s="39"/>
      <c r="HR27" s="39"/>
      <c r="HS27" s="39"/>
      <c r="HT27" s="39"/>
      <c r="HU27" s="39"/>
      <c r="HV27" s="41"/>
      <c r="HW27" s="39"/>
      <c r="HX27" s="39"/>
      <c r="HY27" s="39"/>
      <c r="HZ27" s="39"/>
      <c r="IA27" s="39"/>
      <c r="IB27" s="39"/>
      <c r="IC27" s="41"/>
      <c r="ID27" s="39"/>
      <c r="IE27" s="39"/>
      <c r="IF27" s="39"/>
      <c r="IG27" s="39"/>
      <c r="IH27" s="39"/>
      <c r="II27" s="39"/>
      <c r="IJ27" s="41"/>
      <c r="IK27" s="39"/>
      <c r="IL27" s="39"/>
      <c r="IM27" s="39"/>
      <c r="IN27" s="39"/>
      <c r="IO27" s="39"/>
      <c r="IP27" s="39"/>
      <c r="IQ27" s="41"/>
      <c r="IR27" s="39"/>
      <c r="IS27" s="39"/>
      <c r="IT27" s="39"/>
      <c r="IU27" s="39"/>
      <c r="IV27" s="39"/>
      <c r="IW27" s="39"/>
      <c r="IX27" s="41"/>
      <c r="IY27" s="39"/>
      <c r="IZ27" s="39"/>
      <c r="JA27" s="39"/>
      <c r="JB27" s="39"/>
      <c r="JC27" s="39"/>
      <c r="JD27" s="39"/>
      <c r="JE27" s="41"/>
      <c r="JF27" s="39"/>
      <c r="JG27" s="39"/>
      <c r="JH27" s="39"/>
      <c r="JI27" s="39"/>
      <c r="JJ27" s="39"/>
      <c r="JK27" s="39"/>
      <c r="JL27" s="41"/>
      <c r="JM27" s="39"/>
      <c r="JN27" s="39"/>
      <c r="JO27" s="39"/>
      <c r="JP27" s="39"/>
      <c r="JQ27" s="39"/>
      <c r="JR27" s="39"/>
      <c r="JS27" s="41"/>
      <c r="JT27" s="39"/>
      <c r="JU27" s="39"/>
      <c r="JV27" s="39"/>
      <c r="JW27" s="39"/>
      <c r="JX27" s="39"/>
      <c r="JY27" s="39"/>
      <c r="JZ27" s="41"/>
      <c r="KA27" s="39"/>
      <c r="KB27" s="39"/>
      <c r="KC27" s="39"/>
      <c r="KD27" s="39"/>
      <c r="KE27" s="39"/>
      <c r="KF27" s="40"/>
      <c r="KG27" s="41"/>
      <c r="KH27" s="39"/>
      <c r="KI27" s="39"/>
      <c r="KJ27" s="39"/>
      <c r="KK27" s="39"/>
      <c r="KL27" s="39"/>
      <c r="KM27" s="39"/>
      <c r="KN27" s="41"/>
      <c r="KO27" s="39"/>
      <c r="KP27" s="40"/>
      <c r="KQ27" s="39"/>
      <c r="KR27" s="39"/>
      <c r="KS27" s="39"/>
      <c r="KT27" s="39"/>
      <c r="KU27" s="41"/>
      <c r="KV27" s="39"/>
      <c r="KW27" s="39"/>
      <c r="KX27" s="39"/>
      <c r="KY27" s="39"/>
      <c r="KZ27" s="39"/>
      <c r="LA27" s="39"/>
      <c r="LB27" s="41"/>
      <c r="LC27" s="39"/>
      <c r="LD27" s="39"/>
      <c r="LE27" s="39"/>
      <c r="LF27" s="39"/>
      <c r="LG27" s="39"/>
      <c r="LH27" s="39"/>
      <c r="LI27" s="41"/>
      <c r="LJ27" s="39"/>
      <c r="LK27" s="39"/>
      <c r="LL27" s="39"/>
      <c r="LM27" s="39"/>
      <c r="LN27" s="39"/>
      <c r="LO27" s="39"/>
      <c r="LP27" s="41"/>
      <c r="LQ27" s="39"/>
      <c r="LR27" s="39"/>
      <c r="LS27" s="39"/>
      <c r="LT27" s="39"/>
      <c r="LU27" s="39"/>
      <c r="LV27" s="39"/>
      <c r="LW27" s="41"/>
      <c r="LX27" s="39"/>
      <c r="LY27" s="39"/>
      <c r="LZ27" s="39"/>
      <c r="MA27" s="39"/>
      <c r="MB27" s="39"/>
      <c r="MC27" s="39"/>
      <c r="MD27" s="41"/>
      <c r="ME27" s="39"/>
      <c r="MF27" s="39"/>
      <c r="MG27" s="39"/>
      <c r="MH27" s="39"/>
      <c r="MI27" s="39"/>
      <c r="MJ27" s="39"/>
      <c r="MK27" s="41"/>
      <c r="ML27" s="39"/>
      <c r="MM27" s="39"/>
      <c r="MN27" s="39"/>
      <c r="MO27" s="39"/>
      <c r="MP27" s="39"/>
      <c r="MQ27" s="40"/>
      <c r="MR27" s="41"/>
      <c r="MS27" s="39"/>
      <c r="MT27" s="39"/>
      <c r="MU27" s="39"/>
      <c r="MV27" s="39"/>
      <c r="MW27" s="39"/>
      <c r="MX27" s="39"/>
      <c r="MY27" s="41"/>
      <c r="MZ27" s="39"/>
      <c r="NA27" s="39"/>
      <c r="NB27" s="39"/>
      <c r="NC27" s="39"/>
      <c r="ND27" s="40"/>
      <c r="NE27" s="40"/>
      <c r="NF27" s="41"/>
      <c r="NG27" s="39"/>
      <c r="NH27" s="39"/>
      <c r="NI27" s="39"/>
      <c r="NJ27" s="42"/>
    </row>
    <row r="28" spans="1:374">
      <c r="A28" s="145" t="s">
        <v>441</v>
      </c>
      <c r="B28" s="38" t="s">
        <v>442</v>
      </c>
      <c r="C28" s="38" t="s">
        <v>418</v>
      </c>
      <c r="D28" s="39"/>
      <c r="E28" s="39">
        <v>21</v>
      </c>
      <c r="F28" s="39">
        <f t="shared" si="0"/>
        <v>0</v>
      </c>
      <c r="G28" s="39">
        <f t="shared" si="1"/>
        <v>21</v>
      </c>
      <c r="H28" s="39">
        <f t="shared" si="2"/>
        <v>0</v>
      </c>
      <c r="I28" s="39">
        <f t="shared" si="4"/>
        <v>21</v>
      </c>
      <c r="J28" s="40"/>
      <c r="K28" s="39"/>
      <c r="L28" s="39"/>
      <c r="M28" s="41"/>
      <c r="N28" s="39"/>
      <c r="O28" s="39"/>
      <c r="P28" s="39"/>
      <c r="Q28" s="39"/>
      <c r="R28" s="39"/>
      <c r="S28" s="39"/>
      <c r="T28" s="41"/>
      <c r="U28" s="39"/>
      <c r="V28" s="39"/>
      <c r="W28" s="39"/>
      <c r="X28" s="39"/>
      <c r="Y28" s="39"/>
      <c r="Z28" s="39"/>
      <c r="AA28" s="41"/>
      <c r="AB28" s="39"/>
      <c r="AC28" s="39"/>
      <c r="AD28" s="39"/>
      <c r="AE28" s="39"/>
      <c r="AF28" s="39"/>
      <c r="AG28" s="39"/>
      <c r="AH28" s="41"/>
      <c r="AI28" s="39"/>
      <c r="AJ28" s="39"/>
      <c r="AK28" s="39"/>
      <c r="AL28" s="39"/>
      <c r="AM28" s="39"/>
      <c r="AN28" s="39"/>
      <c r="AO28" s="41"/>
      <c r="AP28" s="39"/>
      <c r="AQ28" s="39"/>
      <c r="AR28" s="39"/>
      <c r="AS28" s="39"/>
      <c r="AT28" s="39"/>
      <c r="AU28" s="39"/>
      <c r="AV28" s="41"/>
      <c r="AW28" s="39"/>
      <c r="AX28" s="39"/>
      <c r="AY28" s="39"/>
      <c r="AZ28" s="39"/>
      <c r="BA28" s="39"/>
      <c r="BB28" s="39"/>
      <c r="BC28" s="41"/>
      <c r="BD28" s="39"/>
      <c r="BE28" s="39"/>
      <c r="BF28" s="39"/>
      <c r="BG28" s="39"/>
      <c r="BH28" s="39"/>
      <c r="BI28" s="39"/>
      <c r="BJ28" s="41"/>
      <c r="BK28" s="39"/>
      <c r="BL28" s="39"/>
      <c r="BM28" s="39"/>
      <c r="BN28" s="39"/>
      <c r="BO28" s="39"/>
      <c r="BP28" s="39"/>
      <c r="BQ28" s="41"/>
      <c r="BR28" s="39"/>
      <c r="BS28" s="39"/>
      <c r="BT28" s="39"/>
      <c r="BU28" s="39"/>
      <c r="BV28" s="39"/>
      <c r="BW28" s="39"/>
      <c r="BX28" s="41"/>
      <c r="BY28" s="39"/>
      <c r="BZ28" s="39"/>
      <c r="CA28" s="39"/>
      <c r="CB28" s="39"/>
      <c r="CC28" s="39"/>
      <c r="CD28" s="39"/>
      <c r="CE28" s="41"/>
      <c r="CF28" s="39"/>
      <c r="CG28" s="39"/>
      <c r="CH28" s="39"/>
      <c r="CI28" s="39"/>
      <c r="CJ28" s="40"/>
      <c r="CK28" s="39"/>
      <c r="CL28" s="41"/>
      <c r="CM28" s="39"/>
      <c r="CN28" s="39"/>
      <c r="CO28" s="39"/>
      <c r="CP28" s="39"/>
      <c r="CQ28" s="39"/>
      <c r="CR28" s="39"/>
      <c r="CS28" s="41"/>
      <c r="CT28" s="39"/>
      <c r="CU28" s="39"/>
      <c r="CV28" s="39"/>
      <c r="CW28" s="39"/>
      <c r="CX28" s="40"/>
      <c r="CY28" s="39"/>
      <c r="CZ28" s="40"/>
      <c r="DA28" s="40"/>
      <c r="DB28" s="39"/>
      <c r="DC28" s="39"/>
      <c r="DD28" s="39"/>
      <c r="DE28" s="39"/>
      <c r="DF28" s="39"/>
      <c r="DG28" s="41"/>
      <c r="DH28" s="39"/>
      <c r="DI28" s="39"/>
      <c r="DJ28" s="39"/>
      <c r="DK28" s="39"/>
      <c r="DL28" s="39"/>
      <c r="DM28" s="39"/>
      <c r="DN28" s="41"/>
      <c r="DO28" s="39"/>
      <c r="DP28" s="39"/>
      <c r="DQ28" s="39"/>
      <c r="DR28" s="39"/>
      <c r="DS28" s="39"/>
      <c r="DT28" s="39"/>
      <c r="DU28" s="41"/>
      <c r="DV28" s="39"/>
      <c r="DW28" s="39"/>
      <c r="DX28" s="39"/>
      <c r="DY28" s="39"/>
      <c r="DZ28" s="40"/>
      <c r="EA28" s="39"/>
      <c r="EB28" s="41"/>
      <c r="EC28" s="39"/>
      <c r="ED28" s="39"/>
      <c r="EE28" s="39"/>
      <c r="EF28" s="39"/>
      <c r="EG28" s="39"/>
      <c r="EH28" s="39"/>
      <c r="EI28" s="41"/>
      <c r="EJ28" s="39"/>
      <c r="EK28" s="39"/>
      <c r="EL28" s="39"/>
      <c r="EM28" s="39"/>
      <c r="EN28" s="39"/>
      <c r="EO28" s="39"/>
      <c r="EP28" s="41"/>
      <c r="EQ28" s="39"/>
      <c r="ER28" s="39"/>
      <c r="ES28" s="39"/>
      <c r="ET28" s="39"/>
      <c r="EU28" s="39"/>
      <c r="EV28" s="39"/>
      <c r="EW28" s="41"/>
      <c r="EX28" s="39"/>
      <c r="EY28" s="39"/>
      <c r="EZ28" s="40"/>
      <c r="FA28" s="39"/>
      <c r="FB28" s="39"/>
      <c r="FC28" s="39"/>
      <c r="FD28" s="41"/>
      <c r="FE28" s="40"/>
      <c r="FF28" s="39"/>
      <c r="FG28" s="39"/>
      <c r="FH28" s="39"/>
      <c r="FI28" s="39"/>
      <c r="FJ28" s="39"/>
      <c r="FK28" s="41"/>
      <c r="FL28" s="39"/>
      <c r="FM28" s="39"/>
      <c r="FN28" s="39"/>
      <c r="FO28" s="39"/>
      <c r="FP28" s="39"/>
      <c r="FQ28" s="39"/>
      <c r="FR28" s="41"/>
      <c r="FS28" s="39"/>
      <c r="FT28" s="39"/>
      <c r="FU28" s="39"/>
      <c r="FV28" s="39"/>
      <c r="FW28" s="39"/>
      <c r="FX28" s="39"/>
      <c r="FY28" s="41"/>
      <c r="FZ28" s="39"/>
      <c r="GA28" s="39"/>
      <c r="GB28" s="39"/>
      <c r="GC28" s="39"/>
      <c r="GD28" s="39"/>
      <c r="GE28" s="39"/>
      <c r="GF28" s="41"/>
      <c r="GG28" s="39"/>
      <c r="GH28" s="39"/>
      <c r="GI28" s="39"/>
      <c r="GJ28" s="39"/>
      <c r="GK28" s="39"/>
      <c r="GL28" s="39"/>
      <c r="GM28" s="41"/>
      <c r="GN28" s="39"/>
      <c r="GO28" s="39"/>
      <c r="GP28" s="39"/>
      <c r="GQ28" s="39"/>
      <c r="GR28" s="39"/>
      <c r="GS28" s="39"/>
      <c r="GT28" s="41"/>
      <c r="GU28" s="39"/>
      <c r="GV28" s="39"/>
      <c r="GW28" s="39"/>
      <c r="GX28" s="39"/>
      <c r="GY28" s="39"/>
      <c r="GZ28" s="39"/>
      <c r="HA28" s="41"/>
      <c r="HB28" s="39"/>
      <c r="HC28" s="39"/>
      <c r="HD28" s="39"/>
      <c r="HE28" s="39"/>
      <c r="HF28" s="39"/>
      <c r="HG28" s="39"/>
      <c r="HH28" s="41"/>
      <c r="HI28" s="39"/>
      <c r="HJ28" s="39"/>
      <c r="HK28" s="39"/>
      <c r="HL28" s="39"/>
      <c r="HM28" s="39"/>
      <c r="HN28" s="39"/>
      <c r="HO28" s="41"/>
      <c r="HP28" s="39"/>
      <c r="HQ28" s="39"/>
      <c r="HR28" s="39"/>
      <c r="HS28" s="39"/>
      <c r="HT28" s="39"/>
      <c r="HU28" s="39"/>
      <c r="HV28" s="41"/>
      <c r="HW28" s="39"/>
      <c r="HX28" s="39"/>
      <c r="HY28" s="39"/>
      <c r="HZ28" s="39"/>
      <c r="IA28" s="39"/>
      <c r="IB28" s="39"/>
      <c r="IC28" s="41"/>
      <c r="ID28" s="39"/>
      <c r="IE28" s="39"/>
      <c r="IF28" s="39"/>
      <c r="IG28" s="39"/>
      <c r="IH28" s="39"/>
      <c r="II28" s="39"/>
      <c r="IJ28" s="41"/>
      <c r="IK28" s="39"/>
      <c r="IL28" s="39"/>
      <c r="IM28" s="39"/>
      <c r="IN28" s="39"/>
      <c r="IO28" s="39"/>
      <c r="IP28" s="39"/>
      <c r="IQ28" s="41"/>
      <c r="IR28" s="39"/>
      <c r="IS28" s="39"/>
      <c r="IT28" s="39"/>
      <c r="IU28" s="39"/>
      <c r="IV28" s="39"/>
      <c r="IW28" s="39"/>
      <c r="IX28" s="41"/>
      <c r="IY28" s="39"/>
      <c r="IZ28" s="39"/>
      <c r="JA28" s="39"/>
      <c r="JB28" s="39"/>
      <c r="JC28" s="39"/>
      <c r="JD28" s="39"/>
      <c r="JE28" s="41"/>
      <c r="JF28" s="39"/>
      <c r="JG28" s="39"/>
      <c r="JH28" s="39"/>
      <c r="JI28" s="39"/>
      <c r="JJ28" s="39"/>
      <c r="JK28" s="39"/>
      <c r="JL28" s="41"/>
      <c r="JM28" s="39"/>
      <c r="JN28" s="39"/>
      <c r="JO28" s="39"/>
      <c r="JP28" s="39"/>
      <c r="JQ28" s="39"/>
      <c r="JR28" s="39"/>
      <c r="JS28" s="41"/>
      <c r="JT28" s="39"/>
      <c r="JU28" s="39"/>
      <c r="JV28" s="39"/>
      <c r="JW28" s="39"/>
      <c r="JX28" s="39"/>
      <c r="JY28" s="39"/>
      <c r="JZ28" s="41"/>
      <c r="KA28" s="39"/>
      <c r="KB28" s="39"/>
      <c r="KC28" s="39"/>
      <c r="KD28" s="39"/>
      <c r="KE28" s="39"/>
      <c r="KF28" s="40"/>
      <c r="KG28" s="41"/>
      <c r="KH28" s="39"/>
      <c r="KI28" s="39"/>
      <c r="KJ28" s="39"/>
      <c r="KK28" s="39"/>
      <c r="KL28" s="39"/>
      <c r="KM28" s="39"/>
      <c r="KN28" s="41"/>
      <c r="KO28" s="39"/>
      <c r="KP28" s="40"/>
      <c r="KQ28" s="39"/>
      <c r="KR28" s="39"/>
      <c r="KS28" s="39"/>
      <c r="KT28" s="39"/>
      <c r="KU28" s="41"/>
      <c r="KV28" s="39"/>
      <c r="KW28" s="39"/>
      <c r="KX28" s="39"/>
      <c r="KY28" s="39"/>
      <c r="KZ28" s="39"/>
      <c r="LA28" s="39"/>
      <c r="LB28" s="41"/>
      <c r="LC28" s="39"/>
      <c r="LD28" s="39"/>
      <c r="LE28" s="39"/>
      <c r="LF28" s="39"/>
      <c r="LG28" s="39"/>
      <c r="LH28" s="39"/>
      <c r="LI28" s="41"/>
      <c r="LJ28" s="39"/>
      <c r="LK28" s="39"/>
      <c r="LL28" s="39"/>
      <c r="LM28" s="39"/>
      <c r="LN28" s="39"/>
      <c r="LO28" s="39"/>
      <c r="LP28" s="41"/>
      <c r="LQ28" s="39"/>
      <c r="LR28" s="39"/>
      <c r="LS28" s="39"/>
      <c r="LT28" s="39"/>
      <c r="LU28" s="39"/>
      <c r="LV28" s="39"/>
      <c r="LW28" s="41"/>
      <c r="LX28" s="39"/>
      <c r="LY28" s="39"/>
      <c r="LZ28" s="39"/>
      <c r="MA28" s="39"/>
      <c r="MB28" s="39"/>
      <c r="MC28" s="39"/>
      <c r="MD28" s="41"/>
      <c r="ME28" s="39"/>
      <c r="MF28" s="39"/>
      <c r="MG28" s="39"/>
      <c r="MH28" s="39"/>
      <c r="MI28" s="39"/>
      <c r="MJ28" s="39"/>
      <c r="MK28" s="41"/>
      <c r="ML28" s="39"/>
      <c r="MM28" s="39"/>
      <c r="MN28" s="39"/>
      <c r="MO28" s="39"/>
      <c r="MP28" s="39"/>
      <c r="MQ28" s="40"/>
      <c r="MR28" s="41"/>
      <c r="MS28" s="39"/>
      <c r="MT28" s="39"/>
      <c r="MU28" s="39"/>
      <c r="MV28" s="39"/>
      <c r="MW28" s="39"/>
      <c r="MX28" s="39"/>
      <c r="MY28" s="41"/>
      <c r="MZ28" s="39"/>
      <c r="NA28" s="39"/>
      <c r="NB28" s="39"/>
      <c r="NC28" s="39"/>
      <c r="ND28" s="40"/>
      <c r="NE28" s="40"/>
      <c r="NF28" s="41"/>
      <c r="NG28" s="39"/>
      <c r="NH28" s="39"/>
      <c r="NI28" s="39"/>
      <c r="NJ28" s="42"/>
    </row>
    <row r="29" spans="1:374">
      <c r="A29" s="145" t="s">
        <v>142</v>
      </c>
      <c r="B29" s="38" t="s">
        <v>55</v>
      </c>
      <c r="C29" s="38" t="s">
        <v>418</v>
      </c>
      <c r="D29" s="39"/>
      <c r="E29" s="39">
        <v>21</v>
      </c>
      <c r="F29" s="39">
        <f t="shared" si="0"/>
        <v>0</v>
      </c>
      <c r="G29" s="39">
        <f t="shared" si="1"/>
        <v>21</v>
      </c>
      <c r="H29" s="39">
        <f t="shared" si="2"/>
        <v>0</v>
      </c>
      <c r="I29" s="39">
        <f t="shared" si="4"/>
        <v>21</v>
      </c>
      <c r="J29" s="40"/>
      <c r="K29" s="39"/>
      <c r="L29" s="39"/>
      <c r="M29" s="41"/>
      <c r="N29" s="39"/>
      <c r="O29" s="39"/>
      <c r="P29" s="39"/>
      <c r="Q29" s="39"/>
      <c r="R29" s="39"/>
      <c r="S29" s="39"/>
      <c r="T29" s="41"/>
      <c r="U29" s="39"/>
      <c r="V29" s="39"/>
      <c r="W29" s="39"/>
      <c r="X29" s="39"/>
      <c r="Y29" s="39"/>
      <c r="Z29" s="39"/>
      <c r="AA29" s="41"/>
      <c r="AB29" s="39"/>
      <c r="AC29" s="39"/>
      <c r="AD29" s="39"/>
      <c r="AE29" s="39"/>
      <c r="AF29" s="39"/>
      <c r="AG29" s="39"/>
      <c r="AH29" s="41"/>
      <c r="AI29" s="39"/>
      <c r="AJ29" s="39"/>
      <c r="AK29" s="39"/>
      <c r="AL29" s="39"/>
      <c r="AM29" s="39"/>
      <c r="AN29" s="39"/>
      <c r="AO29" s="41"/>
      <c r="AP29" s="39"/>
      <c r="AQ29" s="39"/>
      <c r="AR29" s="39"/>
      <c r="AS29" s="39"/>
      <c r="AT29" s="39"/>
      <c r="AU29" s="39"/>
      <c r="AV29" s="41"/>
      <c r="AW29" s="39"/>
      <c r="AX29" s="39"/>
      <c r="AY29" s="39"/>
      <c r="AZ29" s="39"/>
      <c r="BA29" s="39"/>
      <c r="BB29" s="39"/>
      <c r="BC29" s="41"/>
      <c r="BD29" s="39"/>
      <c r="BE29" s="39"/>
      <c r="BF29" s="39"/>
      <c r="BG29" s="39"/>
      <c r="BH29" s="39"/>
      <c r="BI29" s="39"/>
      <c r="BJ29" s="41"/>
      <c r="BK29" s="39"/>
      <c r="BL29" s="39"/>
      <c r="BM29" s="39"/>
      <c r="BN29" s="39"/>
      <c r="BO29" s="39"/>
      <c r="BP29" s="39"/>
      <c r="BQ29" s="41"/>
      <c r="BR29" s="39"/>
      <c r="BS29" s="39"/>
      <c r="BT29" s="39"/>
      <c r="BU29" s="39"/>
      <c r="BV29" s="39"/>
      <c r="BW29" s="39"/>
      <c r="BX29" s="41"/>
      <c r="BY29" s="39"/>
      <c r="BZ29" s="39"/>
      <c r="CA29" s="39"/>
      <c r="CB29" s="39"/>
      <c r="CC29" s="39"/>
      <c r="CD29" s="39"/>
      <c r="CE29" s="41"/>
      <c r="CF29" s="39"/>
      <c r="CG29" s="39"/>
      <c r="CH29" s="39"/>
      <c r="CI29" s="39"/>
      <c r="CJ29" s="40"/>
      <c r="CK29" s="39"/>
      <c r="CL29" s="41"/>
      <c r="CM29" s="39"/>
      <c r="CN29" s="39"/>
      <c r="CO29" s="39"/>
      <c r="CP29" s="39"/>
      <c r="CQ29" s="39"/>
      <c r="CR29" s="39"/>
      <c r="CS29" s="41"/>
      <c r="CT29" s="39"/>
      <c r="CU29" s="39"/>
      <c r="CV29" s="39"/>
      <c r="CW29" s="39"/>
      <c r="CX29" s="40"/>
      <c r="CY29" s="39"/>
      <c r="CZ29" s="40"/>
      <c r="DA29" s="40"/>
      <c r="DB29" s="39"/>
      <c r="DC29" s="39"/>
      <c r="DD29" s="39"/>
      <c r="DE29" s="39"/>
      <c r="DF29" s="39"/>
      <c r="DG29" s="41"/>
      <c r="DH29" s="39"/>
      <c r="DI29" s="39"/>
      <c r="DJ29" s="39"/>
      <c r="DK29" s="39"/>
      <c r="DL29" s="39"/>
      <c r="DM29" s="39"/>
      <c r="DN29" s="41"/>
      <c r="DO29" s="39"/>
      <c r="DP29" s="39"/>
      <c r="DQ29" s="39"/>
      <c r="DR29" s="39"/>
      <c r="DS29" s="39"/>
      <c r="DT29" s="39"/>
      <c r="DU29" s="41"/>
      <c r="DV29" s="39"/>
      <c r="DW29" s="39"/>
      <c r="DX29" s="39"/>
      <c r="DY29" s="39"/>
      <c r="DZ29" s="40"/>
      <c r="EA29" s="39"/>
      <c r="EB29" s="41"/>
      <c r="EC29" s="39"/>
      <c r="ED29" s="39"/>
      <c r="EE29" s="39"/>
      <c r="EF29" s="39"/>
      <c r="EG29" s="39"/>
      <c r="EH29" s="39"/>
      <c r="EI29" s="41"/>
      <c r="EJ29" s="39"/>
      <c r="EK29" s="39"/>
      <c r="EL29" s="39"/>
      <c r="EM29" s="39"/>
      <c r="EN29" s="39"/>
      <c r="EO29" s="39"/>
      <c r="EP29" s="41"/>
      <c r="EQ29" s="39"/>
      <c r="ER29" s="39"/>
      <c r="ES29" s="39"/>
      <c r="ET29" s="39"/>
      <c r="EU29" s="39"/>
      <c r="EV29" s="39"/>
      <c r="EW29" s="41"/>
      <c r="EX29" s="39"/>
      <c r="EY29" s="39"/>
      <c r="EZ29" s="40"/>
      <c r="FA29" s="39"/>
      <c r="FB29" s="39"/>
      <c r="FC29" s="39"/>
      <c r="FD29" s="41"/>
      <c r="FE29" s="40"/>
      <c r="FF29" s="39"/>
      <c r="FG29" s="39"/>
      <c r="FH29" s="39"/>
      <c r="FI29" s="39"/>
      <c r="FJ29" s="39"/>
      <c r="FK29" s="41"/>
      <c r="FL29" s="39"/>
      <c r="FM29" s="39"/>
      <c r="FN29" s="39"/>
      <c r="FO29" s="39"/>
      <c r="FP29" s="39"/>
      <c r="FQ29" s="39"/>
      <c r="FR29" s="41"/>
      <c r="FS29" s="39"/>
      <c r="FT29" s="39"/>
      <c r="FU29" s="39"/>
      <c r="FV29" s="39"/>
      <c r="FW29" s="39"/>
      <c r="FX29" s="39"/>
      <c r="FY29" s="41"/>
      <c r="FZ29" s="39"/>
      <c r="GA29" s="39"/>
      <c r="GB29" s="39"/>
      <c r="GC29" s="39"/>
      <c r="GD29" s="39"/>
      <c r="GE29" s="39"/>
      <c r="GF29" s="41"/>
      <c r="GG29" s="39"/>
      <c r="GH29" s="39"/>
      <c r="GI29" s="39"/>
      <c r="GJ29" s="39"/>
      <c r="GK29" s="39"/>
      <c r="GL29" s="39"/>
      <c r="GM29" s="41"/>
      <c r="GN29" s="39"/>
      <c r="GO29" s="39"/>
      <c r="GP29" s="39"/>
      <c r="GQ29" s="39"/>
      <c r="GR29" s="39"/>
      <c r="GS29" s="39"/>
      <c r="GT29" s="41"/>
      <c r="GU29" s="39"/>
      <c r="GV29" s="39"/>
      <c r="GW29" s="39"/>
      <c r="GX29" s="39"/>
      <c r="GY29" s="39"/>
      <c r="GZ29" s="39"/>
      <c r="HA29" s="41"/>
      <c r="HB29" s="39"/>
      <c r="HC29" s="39"/>
      <c r="HD29" s="39"/>
      <c r="HE29" s="39"/>
      <c r="HF29" s="39"/>
      <c r="HG29" s="39"/>
      <c r="HH29" s="41"/>
      <c r="HI29" s="39"/>
      <c r="HJ29" s="39"/>
      <c r="HK29" s="39"/>
      <c r="HL29" s="39"/>
      <c r="HM29" s="39"/>
      <c r="HN29" s="39"/>
      <c r="HO29" s="41"/>
      <c r="HP29" s="39"/>
      <c r="HQ29" s="39"/>
      <c r="HR29" s="39"/>
      <c r="HS29" s="39"/>
      <c r="HT29" s="39"/>
      <c r="HU29" s="39"/>
      <c r="HV29" s="41"/>
      <c r="HW29" s="39"/>
      <c r="HX29" s="39"/>
      <c r="HY29" s="39"/>
      <c r="HZ29" s="39"/>
      <c r="IA29" s="39"/>
      <c r="IB29" s="39"/>
      <c r="IC29" s="41"/>
      <c r="ID29" s="39"/>
      <c r="IE29" s="39"/>
      <c r="IF29" s="39"/>
      <c r="IG29" s="39"/>
      <c r="IH29" s="39"/>
      <c r="II29" s="39"/>
      <c r="IJ29" s="41"/>
      <c r="IK29" s="39"/>
      <c r="IL29" s="39"/>
      <c r="IM29" s="39"/>
      <c r="IN29" s="39"/>
      <c r="IO29" s="39"/>
      <c r="IP29" s="39"/>
      <c r="IQ29" s="41"/>
      <c r="IR29" s="39"/>
      <c r="IS29" s="39"/>
      <c r="IT29" s="39"/>
      <c r="IU29" s="39"/>
      <c r="IV29" s="39"/>
      <c r="IW29" s="39"/>
      <c r="IX29" s="41"/>
      <c r="IY29" s="39"/>
      <c r="IZ29" s="39"/>
      <c r="JA29" s="39"/>
      <c r="JB29" s="39"/>
      <c r="JC29" s="39"/>
      <c r="JD29" s="39"/>
      <c r="JE29" s="41"/>
      <c r="JF29" s="39"/>
      <c r="JG29" s="39"/>
      <c r="JH29" s="39"/>
      <c r="JI29" s="39"/>
      <c r="JJ29" s="39"/>
      <c r="JK29" s="39"/>
      <c r="JL29" s="41"/>
      <c r="JM29" s="39"/>
      <c r="JN29" s="39"/>
      <c r="JO29" s="39"/>
      <c r="JP29" s="39"/>
      <c r="JQ29" s="39"/>
      <c r="JR29" s="39"/>
      <c r="JS29" s="41"/>
      <c r="JT29" s="39"/>
      <c r="JU29" s="39"/>
      <c r="JV29" s="39"/>
      <c r="JW29" s="39"/>
      <c r="JX29" s="39"/>
      <c r="JY29" s="39"/>
      <c r="JZ29" s="41"/>
      <c r="KA29" s="39"/>
      <c r="KB29" s="39"/>
      <c r="KC29" s="39"/>
      <c r="KD29" s="39"/>
      <c r="KE29" s="39"/>
      <c r="KF29" s="40"/>
      <c r="KG29" s="41"/>
      <c r="KH29" s="39"/>
      <c r="KI29" s="39"/>
      <c r="KJ29" s="39"/>
      <c r="KK29" s="39"/>
      <c r="KL29" s="39"/>
      <c r="KM29" s="39"/>
      <c r="KN29" s="41"/>
      <c r="KO29" s="39"/>
      <c r="KP29" s="40"/>
      <c r="KQ29" s="39"/>
      <c r="KR29" s="39"/>
      <c r="KS29" s="39"/>
      <c r="KT29" s="39"/>
      <c r="KU29" s="41"/>
      <c r="KV29" s="39"/>
      <c r="KW29" s="39"/>
      <c r="KX29" s="39"/>
      <c r="KY29" s="39"/>
      <c r="KZ29" s="39"/>
      <c r="LA29" s="39"/>
      <c r="LB29" s="41"/>
      <c r="LC29" s="39"/>
      <c r="LD29" s="39"/>
      <c r="LE29" s="39"/>
      <c r="LF29" s="39"/>
      <c r="LG29" s="39"/>
      <c r="LH29" s="39"/>
      <c r="LI29" s="41"/>
      <c r="LJ29" s="39"/>
      <c r="LK29" s="39"/>
      <c r="LL29" s="39"/>
      <c r="LM29" s="39"/>
      <c r="LN29" s="39"/>
      <c r="LO29" s="39"/>
      <c r="LP29" s="41"/>
      <c r="LQ29" s="39"/>
      <c r="LR29" s="39"/>
      <c r="LS29" s="39"/>
      <c r="LT29" s="39"/>
      <c r="LU29" s="39"/>
      <c r="LV29" s="39"/>
      <c r="LW29" s="41"/>
      <c r="LX29" s="39"/>
      <c r="LY29" s="39"/>
      <c r="LZ29" s="39"/>
      <c r="MA29" s="39"/>
      <c r="MB29" s="39"/>
      <c r="MC29" s="39"/>
      <c r="MD29" s="41"/>
      <c r="ME29" s="39"/>
      <c r="MF29" s="39"/>
      <c r="MG29" s="39"/>
      <c r="MH29" s="39"/>
      <c r="MI29" s="39"/>
      <c r="MJ29" s="39"/>
      <c r="MK29" s="41"/>
      <c r="ML29" s="39"/>
      <c r="MM29" s="39"/>
      <c r="MN29" s="39"/>
      <c r="MO29" s="39"/>
      <c r="MP29" s="39"/>
      <c r="MQ29" s="40"/>
      <c r="MR29" s="41"/>
      <c r="MS29" s="39"/>
      <c r="MT29" s="39"/>
      <c r="MU29" s="39"/>
      <c r="MV29" s="39"/>
      <c r="MW29" s="39"/>
      <c r="MX29" s="39"/>
      <c r="MY29" s="41"/>
      <c r="MZ29" s="39"/>
      <c r="NA29" s="39"/>
      <c r="NB29" s="39"/>
      <c r="NC29" s="39"/>
      <c r="ND29" s="40"/>
      <c r="NE29" s="40"/>
      <c r="NF29" s="41"/>
      <c r="NG29" s="39"/>
      <c r="NH29" s="39"/>
      <c r="NI29" s="39"/>
      <c r="NJ29" s="42"/>
    </row>
    <row r="30" spans="1:374">
      <c r="A30" s="145" t="s">
        <v>155</v>
      </c>
      <c r="B30" s="38" t="s">
        <v>443</v>
      </c>
      <c r="C30" s="38" t="s">
        <v>418</v>
      </c>
      <c r="D30" s="39"/>
      <c r="E30" s="39">
        <v>21</v>
      </c>
      <c r="F30" s="39">
        <f t="shared" si="0"/>
        <v>0</v>
      </c>
      <c r="G30" s="39">
        <f t="shared" si="1"/>
        <v>21</v>
      </c>
      <c r="H30" s="39">
        <f t="shared" si="2"/>
        <v>0</v>
      </c>
      <c r="I30" s="39">
        <f t="shared" si="4"/>
        <v>21</v>
      </c>
      <c r="J30" s="40"/>
      <c r="K30" s="39"/>
      <c r="L30" s="39"/>
      <c r="M30" s="41"/>
      <c r="N30" s="39"/>
      <c r="O30" s="39"/>
      <c r="P30" s="39"/>
      <c r="Q30" s="39"/>
      <c r="R30" s="39"/>
      <c r="S30" s="39"/>
      <c r="T30" s="41"/>
      <c r="U30" s="39"/>
      <c r="V30" s="39"/>
      <c r="W30" s="39"/>
      <c r="X30" s="39"/>
      <c r="Y30" s="39"/>
      <c r="Z30" s="39"/>
      <c r="AA30" s="41"/>
      <c r="AB30" s="39"/>
      <c r="AC30" s="39"/>
      <c r="AD30" s="39"/>
      <c r="AE30" s="39"/>
      <c r="AF30" s="39"/>
      <c r="AG30" s="39"/>
      <c r="AH30" s="41"/>
      <c r="AI30" s="39"/>
      <c r="AJ30" s="39"/>
      <c r="AK30" s="39"/>
      <c r="AL30" s="39"/>
      <c r="AM30" s="39"/>
      <c r="AN30" s="39"/>
      <c r="AO30" s="41"/>
      <c r="AP30" s="39"/>
      <c r="AQ30" s="39"/>
      <c r="AR30" s="39"/>
      <c r="AS30" s="39"/>
      <c r="AT30" s="39"/>
      <c r="AU30" s="39"/>
      <c r="AV30" s="41"/>
      <c r="AW30" s="39"/>
      <c r="AX30" s="39"/>
      <c r="AY30" s="39"/>
      <c r="AZ30" s="39"/>
      <c r="BA30" s="39"/>
      <c r="BB30" s="39"/>
      <c r="BC30" s="41"/>
      <c r="BD30" s="39"/>
      <c r="BE30" s="39"/>
      <c r="BF30" s="39"/>
      <c r="BG30" s="39"/>
      <c r="BH30" s="39"/>
      <c r="BI30" s="39"/>
      <c r="BJ30" s="41"/>
      <c r="BK30" s="39"/>
      <c r="BL30" s="39"/>
      <c r="BM30" s="39"/>
      <c r="BN30" s="39"/>
      <c r="BO30" s="39"/>
      <c r="BP30" s="39"/>
      <c r="BQ30" s="41"/>
      <c r="BR30" s="39"/>
      <c r="BS30" s="39"/>
      <c r="BT30" s="39"/>
      <c r="BU30" s="39"/>
      <c r="BV30" s="39"/>
      <c r="BW30" s="39"/>
      <c r="BX30" s="41"/>
      <c r="BY30" s="39"/>
      <c r="BZ30" s="39"/>
      <c r="CA30" s="39"/>
      <c r="CB30" s="39"/>
      <c r="CC30" s="39"/>
      <c r="CD30" s="39"/>
      <c r="CE30" s="41"/>
      <c r="CF30" s="39"/>
      <c r="CG30" s="39"/>
      <c r="CH30" s="39"/>
      <c r="CI30" s="39"/>
      <c r="CJ30" s="40"/>
      <c r="CK30" s="39"/>
      <c r="CL30" s="41"/>
      <c r="CM30" s="39"/>
      <c r="CN30" s="39"/>
      <c r="CO30" s="39"/>
      <c r="CP30" s="39"/>
      <c r="CQ30" s="39"/>
      <c r="CR30" s="39"/>
      <c r="CS30" s="41"/>
      <c r="CT30" s="39"/>
      <c r="CU30" s="39"/>
      <c r="CV30" s="39"/>
      <c r="CW30" s="39"/>
      <c r="CX30" s="40"/>
      <c r="CY30" s="39"/>
      <c r="CZ30" s="40"/>
      <c r="DA30" s="40"/>
      <c r="DB30" s="39"/>
      <c r="DC30" s="39"/>
      <c r="DD30" s="39"/>
      <c r="DE30" s="39"/>
      <c r="DF30" s="39"/>
      <c r="DG30" s="41"/>
      <c r="DH30" s="39"/>
      <c r="DI30" s="39"/>
      <c r="DJ30" s="39"/>
      <c r="DK30" s="39"/>
      <c r="DL30" s="39"/>
      <c r="DM30" s="39"/>
      <c r="DN30" s="41"/>
      <c r="DO30" s="39"/>
      <c r="DP30" s="39"/>
      <c r="DQ30" s="39"/>
      <c r="DR30" s="39"/>
      <c r="DS30" s="39"/>
      <c r="DT30" s="39"/>
      <c r="DU30" s="41"/>
      <c r="DV30" s="39"/>
      <c r="DW30" s="39"/>
      <c r="DX30" s="39"/>
      <c r="DY30" s="39"/>
      <c r="DZ30" s="40"/>
      <c r="EA30" s="39"/>
      <c r="EB30" s="41"/>
      <c r="EC30" s="39"/>
      <c r="ED30" s="39"/>
      <c r="EE30" s="39"/>
      <c r="EF30" s="39"/>
      <c r="EG30" s="39"/>
      <c r="EH30" s="39"/>
      <c r="EI30" s="41"/>
      <c r="EJ30" s="39"/>
      <c r="EK30" s="39"/>
      <c r="EL30" s="39"/>
      <c r="EM30" s="39"/>
      <c r="EN30" s="39"/>
      <c r="EO30" s="39"/>
      <c r="EP30" s="41"/>
      <c r="EQ30" s="39"/>
      <c r="ER30" s="39"/>
      <c r="ES30" s="39"/>
      <c r="ET30" s="39"/>
      <c r="EU30" s="39"/>
      <c r="EV30" s="39"/>
      <c r="EW30" s="41"/>
      <c r="EX30" s="39"/>
      <c r="EY30" s="39"/>
      <c r="EZ30" s="40"/>
      <c r="FA30" s="39"/>
      <c r="FB30" s="39"/>
      <c r="FC30" s="39"/>
      <c r="FD30" s="41"/>
      <c r="FE30" s="40"/>
      <c r="FF30" s="39"/>
      <c r="FG30" s="39"/>
      <c r="FH30" s="39"/>
      <c r="FI30" s="39"/>
      <c r="FJ30" s="39"/>
      <c r="FK30" s="41"/>
      <c r="FL30" s="39"/>
      <c r="FM30" s="39"/>
      <c r="FN30" s="39"/>
      <c r="FO30" s="39"/>
      <c r="FP30" s="39"/>
      <c r="FQ30" s="39"/>
      <c r="FR30" s="41"/>
      <c r="FS30" s="39"/>
      <c r="FT30" s="39"/>
      <c r="FU30" s="39"/>
      <c r="FV30" s="39"/>
      <c r="FW30" s="39"/>
      <c r="FX30" s="39"/>
      <c r="FY30" s="41"/>
      <c r="FZ30" s="39"/>
      <c r="GA30" s="39"/>
      <c r="GB30" s="39"/>
      <c r="GC30" s="39"/>
      <c r="GD30" s="39"/>
      <c r="GE30" s="39"/>
      <c r="GF30" s="41"/>
      <c r="GG30" s="39"/>
      <c r="GH30" s="39"/>
      <c r="GI30" s="39"/>
      <c r="GJ30" s="39"/>
      <c r="GK30" s="39"/>
      <c r="GL30" s="39"/>
      <c r="GM30" s="41"/>
      <c r="GN30" s="39"/>
      <c r="GO30" s="39"/>
      <c r="GP30" s="39"/>
      <c r="GQ30" s="39"/>
      <c r="GR30" s="39"/>
      <c r="GS30" s="39"/>
      <c r="GT30" s="41"/>
      <c r="GU30" s="39"/>
      <c r="GV30" s="39"/>
      <c r="GW30" s="39"/>
      <c r="GX30" s="39"/>
      <c r="GY30" s="39"/>
      <c r="GZ30" s="39"/>
      <c r="HA30" s="41"/>
      <c r="HB30" s="39"/>
      <c r="HC30" s="39"/>
      <c r="HD30" s="39"/>
      <c r="HE30" s="39"/>
      <c r="HF30" s="39"/>
      <c r="HG30" s="39"/>
      <c r="HH30" s="41"/>
      <c r="HI30" s="39"/>
      <c r="HJ30" s="39"/>
      <c r="HK30" s="39"/>
      <c r="HL30" s="39"/>
      <c r="HM30" s="39"/>
      <c r="HN30" s="39"/>
      <c r="HO30" s="41"/>
      <c r="HP30" s="39"/>
      <c r="HQ30" s="39"/>
      <c r="HR30" s="39"/>
      <c r="HS30" s="39"/>
      <c r="HT30" s="39"/>
      <c r="HU30" s="39"/>
      <c r="HV30" s="41"/>
      <c r="HW30" s="39"/>
      <c r="HX30" s="39"/>
      <c r="HY30" s="39"/>
      <c r="HZ30" s="39"/>
      <c r="IA30" s="39"/>
      <c r="IB30" s="39"/>
      <c r="IC30" s="41"/>
      <c r="ID30" s="39"/>
      <c r="IE30" s="39"/>
      <c r="IF30" s="39"/>
      <c r="IG30" s="39"/>
      <c r="IH30" s="39"/>
      <c r="II30" s="39"/>
      <c r="IJ30" s="41"/>
      <c r="IK30" s="39"/>
      <c r="IL30" s="39"/>
      <c r="IM30" s="39"/>
      <c r="IN30" s="39"/>
      <c r="IO30" s="39"/>
      <c r="IP30" s="39"/>
      <c r="IQ30" s="41"/>
      <c r="IR30" s="39"/>
      <c r="IS30" s="39"/>
      <c r="IT30" s="39"/>
      <c r="IU30" s="39"/>
      <c r="IV30" s="39"/>
      <c r="IW30" s="39"/>
      <c r="IX30" s="41"/>
      <c r="IY30" s="39"/>
      <c r="IZ30" s="39"/>
      <c r="JA30" s="39"/>
      <c r="JB30" s="39"/>
      <c r="JC30" s="39"/>
      <c r="JD30" s="39"/>
      <c r="JE30" s="41"/>
      <c r="JF30" s="39"/>
      <c r="JG30" s="39"/>
      <c r="JH30" s="39"/>
      <c r="JI30" s="39"/>
      <c r="JJ30" s="39"/>
      <c r="JK30" s="39"/>
      <c r="JL30" s="41"/>
      <c r="JM30" s="39"/>
      <c r="JN30" s="39"/>
      <c r="JO30" s="39"/>
      <c r="JP30" s="39"/>
      <c r="JQ30" s="39"/>
      <c r="JR30" s="39"/>
      <c r="JS30" s="41"/>
      <c r="JT30" s="39"/>
      <c r="JU30" s="39"/>
      <c r="JV30" s="39"/>
      <c r="JW30" s="39"/>
      <c r="JX30" s="39"/>
      <c r="JY30" s="39"/>
      <c r="JZ30" s="41"/>
      <c r="KA30" s="39"/>
      <c r="KB30" s="39"/>
      <c r="KC30" s="39"/>
      <c r="KD30" s="39"/>
      <c r="KE30" s="39"/>
      <c r="KF30" s="40"/>
      <c r="KG30" s="41"/>
      <c r="KH30" s="39"/>
      <c r="KI30" s="39"/>
      <c r="KJ30" s="39"/>
      <c r="KK30" s="39"/>
      <c r="KL30" s="39"/>
      <c r="KM30" s="39"/>
      <c r="KN30" s="41"/>
      <c r="KO30" s="39"/>
      <c r="KP30" s="40"/>
      <c r="KQ30" s="39"/>
      <c r="KR30" s="39"/>
      <c r="KS30" s="39"/>
      <c r="KT30" s="39"/>
      <c r="KU30" s="41"/>
      <c r="KV30" s="39"/>
      <c r="KW30" s="39"/>
      <c r="KX30" s="39"/>
      <c r="KY30" s="39"/>
      <c r="KZ30" s="39"/>
      <c r="LA30" s="39"/>
      <c r="LB30" s="41"/>
      <c r="LC30" s="39"/>
      <c r="LD30" s="39"/>
      <c r="LE30" s="39"/>
      <c r="LF30" s="39"/>
      <c r="LG30" s="39"/>
      <c r="LH30" s="39"/>
      <c r="LI30" s="41"/>
      <c r="LJ30" s="39"/>
      <c r="LK30" s="39"/>
      <c r="LL30" s="39"/>
      <c r="LM30" s="39"/>
      <c r="LN30" s="39"/>
      <c r="LO30" s="39"/>
      <c r="LP30" s="41"/>
      <c r="LQ30" s="39"/>
      <c r="LR30" s="39"/>
      <c r="LS30" s="39"/>
      <c r="LT30" s="39"/>
      <c r="LU30" s="39"/>
      <c r="LV30" s="39"/>
      <c r="LW30" s="41"/>
      <c r="LX30" s="39"/>
      <c r="LY30" s="39"/>
      <c r="LZ30" s="39"/>
      <c r="MA30" s="39"/>
      <c r="MB30" s="39"/>
      <c r="MC30" s="39"/>
      <c r="MD30" s="41"/>
      <c r="ME30" s="39"/>
      <c r="MF30" s="39"/>
      <c r="MG30" s="39"/>
      <c r="MH30" s="39"/>
      <c r="MI30" s="39"/>
      <c r="MJ30" s="39"/>
      <c r="MK30" s="41"/>
      <c r="ML30" s="39"/>
      <c r="MM30" s="39"/>
      <c r="MN30" s="39"/>
      <c r="MO30" s="39"/>
      <c r="MP30" s="39"/>
      <c r="MQ30" s="40"/>
      <c r="MR30" s="41"/>
      <c r="MS30" s="39"/>
      <c r="MT30" s="39"/>
      <c r="MU30" s="39"/>
      <c r="MV30" s="39"/>
      <c r="MW30" s="39"/>
      <c r="MX30" s="39"/>
      <c r="MY30" s="41"/>
      <c r="MZ30" s="39"/>
      <c r="NA30" s="39"/>
      <c r="NB30" s="39"/>
      <c r="NC30" s="39"/>
      <c r="ND30" s="40"/>
      <c r="NE30" s="40"/>
      <c r="NF30" s="41"/>
      <c r="NG30" s="39"/>
      <c r="NH30" s="39"/>
      <c r="NI30" s="39"/>
      <c r="NJ30" s="42"/>
    </row>
    <row r="31" spans="1:374">
      <c r="A31" s="145" t="s">
        <v>157</v>
      </c>
      <c r="B31" s="38" t="s">
        <v>444</v>
      </c>
      <c r="C31" s="38" t="s">
        <v>445</v>
      </c>
      <c r="D31" s="39"/>
      <c r="E31" s="39">
        <v>21</v>
      </c>
      <c r="F31" s="39">
        <f t="shared" si="0"/>
        <v>0</v>
      </c>
      <c r="G31" s="39">
        <f t="shared" si="1"/>
        <v>21</v>
      </c>
      <c r="H31" s="39">
        <f t="shared" si="2"/>
        <v>1</v>
      </c>
      <c r="I31" s="39">
        <f t="shared" si="4"/>
        <v>20</v>
      </c>
      <c r="J31" s="40"/>
      <c r="K31" s="39"/>
      <c r="L31" s="39"/>
      <c r="M31" s="41"/>
      <c r="N31" s="39"/>
      <c r="O31" s="39"/>
      <c r="P31" s="39"/>
      <c r="Q31" s="39"/>
      <c r="R31" s="39"/>
      <c r="S31" s="39"/>
      <c r="T31" s="41"/>
      <c r="U31" s="39"/>
      <c r="V31" s="39"/>
      <c r="W31" s="39"/>
      <c r="X31" s="39"/>
      <c r="Y31" s="39"/>
      <c r="Z31" s="39"/>
      <c r="AA31" s="41"/>
      <c r="AB31" s="39"/>
      <c r="AC31" s="39"/>
      <c r="AD31" s="39"/>
      <c r="AE31" s="39"/>
      <c r="AF31" s="39"/>
      <c r="AG31" s="39"/>
      <c r="AH31" s="41"/>
      <c r="AI31" s="39"/>
      <c r="AJ31" s="39"/>
      <c r="AK31" s="39"/>
      <c r="AL31" s="39"/>
      <c r="AM31" s="39"/>
      <c r="AN31" s="39"/>
      <c r="AO31" s="41"/>
      <c r="AP31" s="39"/>
      <c r="AQ31" s="39"/>
      <c r="AR31" s="39"/>
      <c r="AS31" s="39"/>
      <c r="AT31" s="39"/>
      <c r="AU31" s="39"/>
      <c r="AV31" s="41"/>
      <c r="AW31" s="39"/>
      <c r="AX31" s="39"/>
      <c r="AY31" s="39"/>
      <c r="AZ31" s="39"/>
      <c r="BA31" s="39"/>
      <c r="BB31" s="39"/>
      <c r="BC31" s="41"/>
      <c r="BD31" s="39"/>
      <c r="BE31" s="39"/>
      <c r="BF31" s="39"/>
      <c r="BG31" s="39"/>
      <c r="BH31" s="39"/>
      <c r="BI31" s="39"/>
      <c r="BJ31" s="41"/>
      <c r="BK31" s="39"/>
      <c r="BL31" s="39"/>
      <c r="BM31" s="39"/>
      <c r="BN31" s="39"/>
      <c r="BO31" s="39"/>
      <c r="BP31" s="39"/>
      <c r="BQ31" s="41"/>
      <c r="BR31" s="39"/>
      <c r="BS31" s="39"/>
      <c r="BT31" s="39"/>
      <c r="BU31" s="39"/>
      <c r="BV31" s="39"/>
      <c r="BW31" s="39"/>
      <c r="BX31" s="41"/>
      <c r="BY31" s="39"/>
      <c r="BZ31" s="39"/>
      <c r="CA31" s="39"/>
      <c r="CB31" s="39"/>
      <c r="CC31" s="39"/>
      <c r="CD31" s="39"/>
      <c r="CE31" s="41"/>
      <c r="CF31" s="39"/>
      <c r="CG31" s="39"/>
      <c r="CH31" s="39"/>
      <c r="CI31" s="39"/>
      <c r="CJ31" s="40"/>
      <c r="CK31" s="39"/>
      <c r="CL31" s="41"/>
      <c r="CM31" s="39"/>
      <c r="CN31" s="39"/>
      <c r="CO31" s="39"/>
      <c r="CP31" s="39"/>
      <c r="CQ31" s="39">
        <v>1</v>
      </c>
      <c r="CR31" s="39"/>
      <c r="CS31" s="41"/>
      <c r="CT31" s="39"/>
      <c r="CU31" s="39"/>
      <c r="CV31" s="39"/>
      <c r="CW31" s="39"/>
      <c r="CX31" s="40"/>
      <c r="CY31" s="39"/>
      <c r="CZ31" s="40"/>
      <c r="DA31" s="40"/>
      <c r="DB31" s="39"/>
      <c r="DC31" s="39"/>
      <c r="DD31" s="39"/>
      <c r="DE31" s="39"/>
      <c r="DF31" s="39"/>
      <c r="DG31" s="41"/>
      <c r="DH31" s="39"/>
      <c r="DI31" s="39"/>
      <c r="DJ31" s="39"/>
      <c r="DK31" s="39"/>
      <c r="DL31" s="39"/>
      <c r="DM31" s="39"/>
      <c r="DN31" s="41"/>
      <c r="DO31" s="39"/>
      <c r="DP31" s="39"/>
      <c r="DQ31" s="39"/>
      <c r="DR31" s="39"/>
      <c r="DS31" s="39"/>
      <c r="DT31" s="39"/>
      <c r="DU31" s="41"/>
      <c r="DV31" s="39"/>
      <c r="DW31" s="39"/>
      <c r="DX31" s="39"/>
      <c r="DY31" s="39"/>
      <c r="DZ31" s="40"/>
      <c r="EA31" s="39"/>
      <c r="EB31" s="41"/>
      <c r="EC31" s="39"/>
      <c r="ED31" s="39"/>
      <c r="EE31" s="39"/>
      <c r="EF31" s="39"/>
      <c r="EG31" s="39"/>
      <c r="EH31" s="39"/>
      <c r="EI31" s="41"/>
      <c r="EJ31" s="39"/>
      <c r="EK31" s="39"/>
      <c r="EL31" s="39"/>
      <c r="EM31" s="39"/>
      <c r="EN31" s="39"/>
      <c r="EO31" s="39"/>
      <c r="EP31" s="41"/>
      <c r="EQ31" s="39"/>
      <c r="ER31" s="39"/>
      <c r="ES31" s="39"/>
      <c r="ET31" s="39"/>
      <c r="EU31" s="39"/>
      <c r="EV31" s="39"/>
      <c r="EW31" s="41"/>
      <c r="EX31" s="39"/>
      <c r="EY31" s="39"/>
      <c r="EZ31" s="40"/>
      <c r="FA31" s="39"/>
      <c r="FB31" s="39"/>
      <c r="FC31" s="39"/>
      <c r="FD31" s="41"/>
      <c r="FE31" s="40"/>
      <c r="FF31" s="39"/>
      <c r="FG31" s="39"/>
      <c r="FH31" s="39"/>
      <c r="FI31" s="39"/>
      <c r="FJ31" s="39"/>
      <c r="FK31" s="41"/>
      <c r="FL31" s="39"/>
      <c r="FM31" s="39"/>
      <c r="FN31" s="39"/>
      <c r="FO31" s="39"/>
      <c r="FP31" s="39"/>
      <c r="FQ31" s="39"/>
      <c r="FR31" s="41"/>
      <c r="FS31" s="39"/>
      <c r="FT31" s="39"/>
      <c r="FU31" s="39"/>
      <c r="FV31" s="39"/>
      <c r="FW31" s="39"/>
      <c r="FX31" s="39"/>
      <c r="FY31" s="41"/>
      <c r="FZ31" s="39"/>
      <c r="GA31" s="39"/>
      <c r="GB31" s="39"/>
      <c r="GC31" s="39"/>
      <c r="GD31" s="39"/>
      <c r="GE31" s="39"/>
      <c r="GF31" s="41"/>
      <c r="GG31" s="39"/>
      <c r="GH31" s="39"/>
      <c r="GI31" s="39"/>
      <c r="GJ31" s="39"/>
      <c r="GK31" s="39"/>
      <c r="GL31" s="39"/>
      <c r="GM31" s="41"/>
      <c r="GN31" s="39"/>
      <c r="GO31" s="39"/>
      <c r="GP31" s="39"/>
      <c r="GQ31" s="39"/>
      <c r="GR31" s="39"/>
      <c r="GS31" s="39"/>
      <c r="GT31" s="41"/>
      <c r="GU31" s="39"/>
      <c r="GV31" s="39"/>
      <c r="GW31" s="39"/>
      <c r="GX31" s="39"/>
      <c r="GY31" s="39"/>
      <c r="GZ31" s="39"/>
      <c r="HA31" s="41"/>
      <c r="HB31" s="39"/>
      <c r="HC31" s="39"/>
      <c r="HD31" s="39"/>
      <c r="HE31" s="39"/>
      <c r="HF31" s="39"/>
      <c r="HG31" s="39"/>
      <c r="HH31" s="41"/>
      <c r="HI31" s="39"/>
      <c r="HJ31" s="39"/>
      <c r="HK31" s="39"/>
      <c r="HL31" s="39"/>
      <c r="HM31" s="39"/>
      <c r="HN31" s="39"/>
      <c r="HO31" s="41"/>
      <c r="HP31" s="39"/>
      <c r="HQ31" s="39"/>
      <c r="HR31" s="39"/>
      <c r="HS31" s="39"/>
      <c r="HT31" s="39"/>
      <c r="HU31" s="39"/>
      <c r="HV31" s="41"/>
      <c r="HW31" s="39"/>
      <c r="HX31" s="39"/>
      <c r="HY31" s="39"/>
      <c r="HZ31" s="39"/>
      <c r="IA31" s="39"/>
      <c r="IB31" s="39"/>
      <c r="IC31" s="41"/>
      <c r="ID31" s="39"/>
      <c r="IE31" s="39"/>
      <c r="IF31" s="39"/>
      <c r="IG31" s="39"/>
      <c r="IH31" s="39"/>
      <c r="II31" s="39"/>
      <c r="IJ31" s="41"/>
      <c r="IK31" s="39"/>
      <c r="IL31" s="39"/>
      <c r="IM31" s="39"/>
      <c r="IN31" s="39"/>
      <c r="IO31" s="39"/>
      <c r="IP31" s="39"/>
      <c r="IQ31" s="41"/>
      <c r="IR31" s="39"/>
      <c r="IS31" s="39"/>
      <c r="IT31" s="39"/>
      <c r="IU31" s="39"/>
      <c r="IV31" s="39"/>
      <c r="IW31" s="39"/>
      <c r="IX31" s="41"/>
      <c r="IY31" s="39"/>
      <c r="IZ31" s="39"/>
      <c r="JA31" s="39"/>
      <c r="JB31" s="39"/>
      <c r="JC31" s="39"/>
      <c r="JD31" s="39"/>
      <c r="JE31" s="41"/>
      <c r="JF31" s="39"/>
      <c r="JG31" s="39"/>
      <c r="JH31" s="39"/>
      <c r="JI31" s="39"/>
      <c r="JJ31" s="39"/>
      <c r="JK31" s="39"/>
      <c r="JL31" s="41"/>
      <c r="JM31" s="39"/>
      <c r="JN31" s="39"/>
      <c r="JO31" s="39"/>
      <c r="JP31" s="39"/>
      <c r="JQ31" s="39"/>
      <c r="JR31" s="39"/>
      <c r="JS31" s="41"/>
      <c r="JT31" s="39"/>
      <c r="JU31" s="39"/>
      <c r="JV31" s="39"/>
      <c r="JW31" s="39"/>
      <c r="JX31" s="39"/>
      <c r="JY31" s="39"/>
      <c r="JZ31" s="41"/>
      <c r="KA31" s="39"/>
      <c r="KB31" s="39"/>
      <c r="KC31" s="39"/>
      <c r="KD31" s="39"/>
      <c r="KE31" s="39"/>
      <c r="KF31" s="40"/>
      <c r="KG31" s="41"/>
      <c r="KH31" s="39"/>
      <c r="KI31" s="39"/>
      <c r="KJ31" s="39"/>
      <c r="KK31" s="39"/>
      <c r="KL31" s="39"/>
      <c r="KM31" s="39"/>
      <c r="KN31" s="41"/>
      <c r="KO31" s="39"/>
      <c r="KP31" s="40"/>
      <c r="KQ31" s="39"/>
      <c r="KR31" s="39"/>
      <c r="KS31" s="39"/>
      <c r="KT31" s="39"/>
      <c r="KU31" s="41"/>
      <c r="KV31" s="39"/>
      <c r="KW31" s="39"/>
      <c r="KX31" s="39"/>
      <c r="KY31" s="39"/>
      <c r="KZ31" s="39"/>
      <c r="LA31" s="39"/>
      <c r="LB31" s="41"/>
      <c r="LC31" s="39"/>
      <c r="LD31" s="39"/>
      <c r="LE31" s="39"/>
      <c r="LF31" s="39"/>
      <c r="LG31" s="39"/>
      <c r="LH31" s="39"/>
      <c r="LI31" s="41"/>
      <c r="LJ31" s="39"/>
      <c r="LK31" s="39"/>
      <c r="LL31" s="39"/>
      <c r="LM31" s="39"/>
      <c r="LN31" s="39"/>
      <c r="LO31" s="39"/>
      <c r="LP31" s="41"/>
      <c r="LQ31" s="39"/>
      <c r="LR31" s="39"/>
      <c r="LS31" s="39"/>
      <c r="LT31" s="39"/>
      <c r="LU31" s="39"/>
      <c r="LV31" s="39"/>
      <c r="LW31" s="41"/>
      <c r="LX31" s="39"/>
      <c r="LY31" s="39"/>
      <c r="LZ31" s="39"/>
      <c r="MA31" s="39"/>
      <c r="MB31" s="39"/>
      <c r="MC31" s="39"/>
      <c r="MD31" s="41"/>
      <c r="ME31" s="39"/>
      <c r="MF31" s="39"/>
      <c r="MG31" s="39"/>
      <c r="MH31" s="39"/>
      <c r="MI31" s="39"/>
      <c r="MJ31" s="39"/>
      <c r="MK31" s="41"/>
      <c r="ML31" s="39"/>
      <c r="MM31" s="39"/>
      <c r="MN31" s="39"/>
      <c r="MO31" s="39"/>
      <c r="MP31" s="39"/>
      <c r="MQ31" s="40"/>
      <c r="MR31" s="41"/>
      <c r="MS31" s="39"/>
      <c r="MT31" s="39"/>
      <c r="MU31" s="39"/>
      <c r="MV31" s="39"/>
      <c r="MW31" s="39"/>
      <c r="MX31" s="39"/>
      <c r="MY31" s="41"/>
      <c r="MZ31" s="39"/>
      <c r="NA31" s="39"/>
      <c r="NB31" s="39"/>
      <c r="NC31" s="39"/>
      <c r="ND31" s="40"/>
      <c r="NE31" s="40"/>
      <c r="NF31" s="41"/>
      <c r="NG31" s="39"/>
      <c r="NH31" s="39"/>
      <c r="NI31" s="39"/>
      <c r="NJ31" s="42"/>
    </row>
    <row r="32" spans="1:374">
      <c r="A32" s="145" t="s">
        <v>86</v>
      </c>
      <c r="B32" s="38" t="s">
        <v>446</v>
      </c>
      <c r="C32" s="38" t="s">
        <v>418</v>
      </c>
      <c r="D32" s="39"/>
      <c r="E32" s="39">
        <v>21</v>
      </c>
      <c r="F32" s="39">
        <f t="shared" si="0"/>
        <v>0</v>
      </c>
      <c r="G32" s="39">
        <f t="shared" si="1"/>
        <v>21</v>
      </c>
      <c r="H32" s="39">
        <f t="shared" si="2"/>
        <v>1</v>
      </c>
      <c r="I32" s="39">
        <f t="shared" si="4"/>
        <v>20</v>
      </c>
      <c r="J32" s="40"/>
      <c r="K32" s="39"/>
      <c r="L32" s="39"/>
      <c r="M32" s="41"/>
      <c r="N32" s="39"/>
      <c r="O32" s="39"/>
      <c r="P32" s="39"/>
      <c r="Q32" s="39"/>
      <c r="R32" s="39"/>
      <c r="S32" s="39"/>
      <c r="T32" s="41"/>
      <c r="U32" s="39"/>
      <c r="V32" s="39"/>
      <c r="W32" s="39"/>
      <c r="X32" s="39"/>
      <c r="Y32" s="39"/>
      <c r="Z32" s="39"/>
      <c r="AA32" s="41"/>
      <c r="AB32" s="39"/>
      <c r="AC32" s="39"/>
      <c r="AD32" s="39"/>
      <c r="AE32" s="39"/>
      <c r="AF32" s="39"/>
      <c r="AG32" s="39"/>
      <c r="AH32" s="41"/>
      <c r="AI32" s="39"/>
      <c r="AJ32" s="39"/>
      <c r="AK32" s="39"/>
      <c r="AL32" s="39"/>
      <c r="AM32" s="39"/>
      <c r="AN32" s="39"/>
      <c r="AO32" s="41"/>
      <c r="AP32" s="39"/>
      <c r="AQ32" s="39"/>
      <c r="AR32" s="39"/>
      <c r="AS32" s="39"/>
      <c r="AT32" s="39"/>
      <c r="AU32" s="39"/>
      <c r="AV32" s="41"/>
      <c r="AW32" s="39"/>
      <c r="AX32" s="39"/>
      <c r="AY32" s="39"/>
      <c r="AZ32" s="39"/>
      <c r="BA32" s="39"/>
      <c r="BB32" s="39"/>
      <c r="BC32" s="41"/>
      <c r="BD32" s="39"/>
      <c r="BE32" s="39"/>
      <c r="BF32" s="39"/>
      <c r="BG32" s="39"/>
      <c r="BH32" s="39"/>
      <c r="BI32" s="39"/>
      <c r="BJ32" s="41"/>
      <c r="BK32" s="39"/>
      <c r="BL32" s="39"/>
      <c r="BM32" s="39"/>
      <c r="BN32" s="39"/>
      <c r="BO32" s="39"/>
      <c r="BP32" s="39"/>
      <c r="BQ32" s="41"/>
      <c r="BR32" s="39"/>
      <c r="BS32" s="39"/>
      <c r="BT32" s="39"/>
      <c r="BU32" s="39"/>
      <c r="BV32" s="39"/>
      <c r="BW32" s="39"/>
      <c r="BX32" s="41"/>
      <c r="BY32" s="39"/>
      <c r="BZ32" s="39"/>
      <c r="CA32" s="39"/>
      <c r="CB32" s="39"/>
      <c r="CC32" s="39"/>
      <c r="CD32" s="39"/>
      <c r="CE32" s="41"/>
      <c r="CF32" s="39"/>
      <c r="CG32" s="39"/>
      <c r="CH32" s="39"/>
      <c r="CI32" s="39"/>
      <c r="CJ32" s="40"/>
      <c r="CK32" s="39"/>
      <c r="CL32" s="41"/>
      <c r="CM32" s="39"/>
      <c r="CN32" s="39"/>
      <c r="CO32" s="39"/>
      <c r="CP32" s="39"/>
      <c r="CQ32" s="39"/>
      <c r="CR32" s="39"/>
      <c r="CS32" s="41"/>
      <c r="CT32" s="39"/>
      <c r="CU32" s="39"/>
      <c r="CV32" s="39"/>
      <c r="CW32" s="39">
        <v>1</v>
      </c>
      <c r="CX32" s="40"/>
      <c r="CY32" s="39"/>
      <c r="CZ32" s="40"/>
      <c r="DA32" s="40"/>
      <c r="DB32" s="39"/>
      <c r="DC32" s="39"/>
      <c r="DD32" s="39"/>
      <c r="DE32" s="39"/>
      <c r="DF32" s="39"/>
      <c r="DG32" s="41"/>
      <c r="DH32" s="39"/>
      <c r="DI32" s="39"/>
      <c r="DJ32" s="39"/>
      <c r="DK32" s="39"/>
      <c r="DL32" s="39"/>
      <c r="DM32" s="39"/>
      <c r="DN32" s="41"/>
      <c r="DO32" s="39"/>
      <c r="DP32" s="39"/>
      <c r="DQ32" s="39"/>
      <c r="DR32" s="39"/>
      <c r="DS32" s="39"/>
      <c r="DT32" s="39"/>
      <c r="DU32" s="41"/>
      <c r="DV32" s="39"/>
      <c r="DW32" s="39"/>
      <c r="DX32" s="39"/>
      <c r="DY32" s="39"/>
      <c r="DZ32" s="40"/>
      <c r="EA32" s="39"/>
      <c r="EB32" s="41"/>
      <c r="EC32" s="39"/>
      <c r="ED32" s="39"/>
      <c r="EE32" s="39"/>
      <c r="EF32" s="39"/>
      <c r="EG32" s="39"/>
      <c r="EH32" s="39"/>
      <c r="EI32" s="41"/>
      <c r="EJ32" s="39"/>
      <c r="EK32" s="39"/>
      <c r="EL32" s="39"/>
      <c r="EM32" s="39"/>
      <c r="EN32" s="39"/>
      <c r="EO32" s="39"/>
      <c r="EP32" s="41"/>
      <c r="EQ32" s="39"/>
      <c r="ER32" s="39"/>
      <c r="ES32" s="39"/>
      <c r="ET32" s="39"/>
      <c r="EU32" s="39"/>
      <c r="EV32" s="39"/>
      <c r="EW32" s="41"/>
      <c r="EX32" s="39"/>
      <c r="EY32" s="39"/>
      <c r="EZ32" s="40"/>
      <c r="FA32" s="39"/>
      <c r="FB32" s="39"/>
      <c r="FC32" s="39"/>
      <c r="FD32" s="41"/>
      <c r="FE32" s="40"/>
      <c r="FF32" s="39"/>
      <c r="FG32" s="39"/>
      <c r="FH32" s="39"/>
      <c r="FI32" s="39"/>
      <c r="FJ32" s="39"/>
      <c r="FK32" s="41"/>
      <c r="FL32" s="39"/>
      <c r="FM32" s="39"/>
      <c r="FN32" s="39"/>
      <c r="FO32" s="39"/>
      <c r="FP32" s="39"/>
      <c r="FQ32" s="39"/>
      <c r="FR32" s="41"/>
      <c r="FS32" s="39"/>
      <c r="FT32" s="39"/>
      <c r="FU32" s="39"/>
      <c r="FV32" s="39"/>
      <c r="FW32" s="39"/>
      <c r="FX32" s="39"/>
      <c r="FY32" s="41"/>
      <c r="FZ32" s="39"/>
      <c r="GA32" s="39"/>
      <c r="GB32" s="39"/>
      <c r="GC32" s="39"/>
      <c r="GD32" s="39"/>
      <c r="GE32" s="39"/>
      <c r="GF32" s="41"/>
      <c r="GG32" s="39"/>
      <c r="GH32" s="39"/>
      <c r="GI32" s="39"/>
      <c r="GJ32" s="39"/>
      <c r="GK32" s="39"/>
      <c r="GL32" s="39"/>
      <c r="GM32" s="41"/>
      <c r="GN32" s="39"/>
      <c r="GO32" s="39"/>
      <c r="GP32" s="39"/>
      <c r="GQ32" s="39"/>
      <c r="GR32" s="39"/>
      <c r="GS32" s="39"/>
      <c r="GT32" s="41"/>
      <c r="GU32" s="39"/>
      <c r="GV32" s="39"/>
      <c r="GW32" s="39"/>
      <c r="GX32" s="39"/>
      <c r="GY32" s="39"/>
      <c r="GZ32" s="39"/>
      <c r="HA32" s="41"/>
      <c r="HB32" s="39"/>
      <c r="HC32" s="39"/>
      <c r="HD32" s="39"/>
      <c r="HE32" s="39"/>
      <c r="HF32" s="39"/>
      <c r="HG32" s="39"/>
      <c r="HH32" s="41"/>
      <c r="HI32" s="39"/>
      <c r="HJ32" s="39"/>
      <c r="HK32" s="39"/>
      <c r="HL32" s="39"/>
      <c r="HM32" s="39"/>
      <c r="HN32" s="39"/>
      <c r="HO32" s="41"/>
      <c r="HP32" s="39"/>
      <c r="HQ32" s="39"/>
      <c r="HR32" s="39"/>
      <c r="HS32" s="39"/>
      <c r="HT32" s="39"/>
      <c r="HU32" s="39"/>
      <c r="HV32" s="41"/>
      <c r="HW32" s="39"/>
      <c r="HX32" s="39"/>
      <c r="HY32" s="39"/>
      <c r="HZ32" s="39"/>
      <c r="IA32" s="39"/>
      <c r="IB32" s="39"/>
      <c r="IC32" s="41"/>
      <c r="ID32" s="39"/>
      <c r="IE32" s="39"/>
      <c r="IF32" s="39"/>
      <c r="IG32" s="39"/>
      <c r="IH32" s="39"/>
      <c r="II32" s="39"/>
      <c r="IJ32" s="41"/>
      <c r="IK32" s="39"/>
      <c r="IL32" s="39"/>
      <c r="IM32" s="39"/>
      <c r="IN32" s="39"/>
      <c r="IO32" s="39"/>
      <c r="IP32" s="39"/>
      <c r="IQ32" s="41"/>
      <c r="IR32" s="39"/>
      <c r="IS32" s="39"/>
      <c r="IT32" s="39"/>
      <c r="IU32" s="39"/>
      <c r="IV32" s="39"/>
      <c r="IW32" s="39"/>
      <c r="IX32" s="41"/>
      <c r="IY32" s="39"/>
      <c r="IZ32" s="39"/>
      <c r="JA32" s="39"/>
      <c r="JB32" s="39"/>
      <c r="JC32" s="39"/>
      <c r="JD32" s="39"/>
      <c r="JE32" s="41"/>
      <c r="JF32" s="39"/>
      <c r="JG32" s="39"/>
      <c r="JH32" s="39"/>
      <c r="JI32" s="39"/>
      <c r="JJ32" s="39"/>
      <c r="JK32" s="39"/>
      <c r="JL32" s="41"/>
      <c r="JM32" s="39"/>
      <c r="JN32" s="39"/>
      <c r="JO32" s="39"/>
      <c r="JP32" s="39"/>
      <c r="JQ32" s="39"/>
      <c r="JR32" s="39"/>
      <c r="JS32" s="41"/>
      <c r="JT32" s="39"/>
      <c r="JU32" s="39"/>
      <c r="JV32" s="39"/>
      <c r="JW32" s="39"/>
      <c r="JX32" s="39"/>
      <c r="JY32" s="39"/>
      <c r="JZ32" s="41"/>
      <c r="KA32" s="39"/>
      <c r="KB32" s="39"/>
      <c r="KC32" s="39"/>
      <c r="KD32" s="39"/>
      <c r="KE32" s="39"/>
      <c r="KF32" s="40"/>
      <c r="KG32" s="41"/>
      <c r="KH32" s="39"/>
      <c r="KI32" s="39"/>
      <c r="KJ32" s="39"/>
      <c r="KK32" s="39"/>
      <c r="KL32" s="39"/>
      <c r="KM32" s="39"/>
      <c r="KN32" s="41"/>
      <c r="KO32" s="39"/>
      <c r="KP32" s="40"/>
      <c r="KQ32" s="39"/>
      <c r="KR32" s="39"/>
      <c r="KS32" s="39"/>
      <c r="KT32" s="39"/>
      <c r="KU32" s="41"/>
      <c r="KV32" s="39"/>
      <c r="KW32" s="39"/>
      <c r="KX32" s="39"/>
      <c r="KY32" s="39"/>
      <c r="KZ32" s="39"/>
      <c r="LA32" s="39"/>
      <c r="LB32" s="41"/>
      <c r="LC32" s="39"/>
      <c r="LD32" s="39"/>
      <c r="LE32" s="39"/>
      <c r="LF32" s="39"/>
      <c r="LG32" s="39"/>
      <c r="LH32" s="39"/>
      <c r="LI32" s="41"/>
      <c r="LJ32" s="39"/>
      <c r="LK32" s="39"/>
      <c r="LL32" s="39"/>
      <c r="LM32" s="39"/>
      <c r="LN32" s="39"/>
      <c r="LO32" s="39"/>
      <c r="LP32" s="41"/>
      <c r="LQ32" s="39"/>
      <c r="LR32" s="39"/>
      <c r="LS32" s="39"/>
      <c r="LT32" s="39"/>
      <c r="LU32" s="39"/>
      <c r="LV32" s="39"/>
      <c r="LW32" s="41"/>
      <c r="LX32" s="39"/>
      <c r="LY32" s="39"/>
      <c r="LZ32" s="39"/>
      <c r="MA32" s="39"/>
      <c r="MB32" s="39"/>
      <c r="MC32" s="39"/>
      <c r="MD32" s="41"/>
      <c r="ME32" s="39"/>
      <c r="MF32" s="39"/>
      <c r="MG32" s="39"/>
      <c r="MH32" s="39"/>
      <c r="MI32" s="39"/>
      <c r="MJ32" s="39"/>
      <c r="MK32" s="41"/>
      <c r="ML32" s="39"/>
      <c r="MM32" s="39"/>
      <c r="MN32" s="39"/>
      <c r="MO32" s="39"/>
      <c r="MP32" s="39"/>
      <c r="MQ32" s="40"/>
      <c r="MR32" s="41"/>
      <c r="MS32" s="39"/>
      <c r="MT32" s="39"/>
      <c r="MU32" s="39"/>
      <c r="MV32" s="39"/>
      <c r="MW32" s="39"/>
      <c r="MX32" s="39"/>
      <c r="MY32" s="41"/>
      <c r="MZ32" s="39"/>
      <c r="NA32" s="39"/>
      <c r="NB32" s="39"/>
      <c r="NC32" s="39"/>
      <c r="ND32" s="40"/>
      <c r="NE32" s="40"/>
      <c r="NF32" s="41"/>
      <c r="NG32" s="39"/>
      <c r="NH32" s="39"/>
      <c r="NI32" s="39"/>
      <c r="NJ32" s="42"/>
    </row>
    <row r="33" spans="1:374">
      <c r="A33" s="145" t="s">
        <v>159</v>
      </c>
      <c r="B33" s="38" t="s">
        <v>51</v>
      </c>
      <c r="C33" s="38" t="s">
        <v>445</v>
      </c>
      <c r="D33" s="39"/>
      <c r="E33" s="39">
        <v>21</v>
      </c>
      <c r="F33" s="39">
        <f t="shared" si="0"/>
        <v>0</v>
      </c>
      <c r="G33" s="39">
        <f t="shared" si="1"/>
        <v>21</v>
      </c>
      <c r="H33" s="39">
        <f t="shared" si="2"/>
        <v>0</v>
      </c>
      <c r="I33" s="39">
        <f t="shared" si="4"/>
        <v>21</v>
      </c>
      <c r="J33" s="40"/>
      <c r="K33" s="39"/>
      <c r="L33" s="39"/>
      <c r="M33" s="41"/>
      <c r="N33" s="39"/>
      <c r="O33" s="39"/>
      <c r="P33" s="39"/>
      <c r="Q33" s="39"/>
      <c r="R33" s="39"/>
      <c r="S33" s="39"/>
      <c r="T33" s="41"/>
      <c r="U33" s="39"/>
      <c r="V33" s="39"/>
      <c r="W33" s="39"/>
      <c r="X33" s="39"/>
      <c r="Y33" s="39"/>
      <c r="Z33" s="39"/>
      <c r="AA33" s="41"/>
      <c r="AB33" s="39"/>
      <c r="AC33" s="39"/>
      <c r="AD33" s="39"/>
      <c r="AE33" s="39"/>
      <c r="AF33" s="39"/>
      <c r="AG33" s="39"/>
      <c r="AH33" s="41"/>
      <c r="AI33" s="39"/>
      <c r="AJ33" s="39"/>
      <c r="AK33" s="39"/>
      <c r="AL33" s="39"/>
      <c r="AM33" s="39"/>
      <c r="AN33" s="39"/>
      <c r="AO33" s="41"/>
      <c r="AP33" s="39"/>
      <c r="AQ33" s="39"/>
      <c r="AR33" s="39"/>
      <c r="AS33" s="39"/>
      <c r="AT33" s="39"/>
      <c r="AU33" s="39"/>
      <c r="AV33" s="41"/>
      <c r="AW33" s="39"/>
      <c r="AX33" s="39"/>
      <c r="AY33" s="39"/>
      <c r="AZ33" s="39"/>
      <c r="BA33" s="39"/>
      <c r="BB33" s="39"/>
      <c r="BC33" s="41"/>
      <c r="BD33" s="39"/>
      <c r="BE33" s="39"/>
      <c r="BF33" s="39"/>
      <c r="BG33" s="39"/>
      <c r="BH33" s="39"/>
      <c r="BI33" s="39"/>
      <c r="BJ33" s="41"/>
      <c r="BK33" s="39"/>
      <c r="BL33" s="39"/>
      <c r="BM33" s="39"/>
      <c r="BN33" s="39"/>
      <c r="BO33" s="39"/>
      <c r="BP33" s="39"/>
      <c r="BQ33" s="41"/>
      <c r="BR33" s="39"/>
      <c r="BS33" s="39"/>
      <c r="BT33" s="39"/>
      <c r="BU33" s="39"/>
      <c r="BV33" s="39"/>
      <c r="BW33" s="39"/>
      <c r="BX33" s="41"/>
      <c r="BY33" s="39"/>
      <c r="BZ33" s="39"/>
      <c r="CA33" s="39"/>
      <c r="CB33" s="39"/>
      <c r="CC33" s="39"/>
      <c r="CD33" s="39"/>
      <c r="CE33" s="41"/>
      <c r="CF33" s="39"/>
      <c r="CG33" s="39"/>
      <c r="CH33" s="39"/>
      <c r="CI33" s="39"/>
      <c r="CJ33" s="40"/>
      <c r="CK33" s="39"/>
      <c r="CL33" s="41"/>
      <c r="CM33" s="39"/>
      <c r="CN33" s="39"/>
      <c r="CO33" s="39"/>
      <c r="CP33" s="39"/>
      <c r="CQ33" s="39"/>
      <c r="CR33" s="39"/>
      <c r="CS33" s="41"/>
      <c r="CT33" s="39"/>
      <c r="CU33" s="39"/>
      <c r="CV33" s="39"/>
      <c r="CW33" s="39"/>
      <c r="CX33" s="40"/>
      <c r="CY33" s="39"/>
      <c r="CZ33" s="40"/>
      <c r="DA33" s="40"/>
      <c r="DB33" s="39"/>
      <c r="DC33" s="39"/>
      <c r="DD33" s="39"/>
      <c r="DE33" s="39"/>
      <c r="DF33" s="39"/>
      <c r="DG33" s="41"/>
      <c r="DH33" s="39"/>
      <c r="DI33" s="39"/>
      <c r="DJ33" s="39"/>
      <c r="DK33" s="39"/>
      <c r="DL33" s="39"/>
      <c r="DM33" s="39"/>
      <c r="DN33" s="41"/>
      <c r="DO33" s="39"/>
      <c r="DP33" s="39"/>
      <c r="DQ33" s="39"/>
      <c r="DR33" s="39"/>
      <c r="DS33" s="39"/>
      <c r="DT33" s="39"/>
      <c r="DU33" s="41"/>
      <c r="DV33" s="39"/>
      <c r="DW33" s="39"/>
      <c r="DX33" s="39"/>
      <c r="DY33" s="39"/>
      <c r="DZ33" s="40"/>
      <c r="EA33" s="39"/>
      <c r="EB33" s="41"/>
      <c r="EC33" s="39"/>
      <c r="ED33" s="39"/>
      <c r="EE33" s="39"/>
      <c r="EF33" s="39"/>
      <c r="EG33" s="39"/>
      <c r="EH33" s="39"/>
      <c r="EI33" s="41"/>
      <c r="EJ33" s="39"/>
      <c r="EK33" s="39"/>
      <c r="EL33" s="39"/>
      <c r="EM33" s="39"/>
      <c r="EN33" s="39"/>
      <c r="EO33" s="39"/>
      <c r="EP33" s="41"/>
      <c r="EQ33" s="39"/>
      <c r="ER33" s="39"/>
      <c r="ES33" s="39"/>
      <c r="ET33" s="39"/>
      <c r="EU33" s="39"/>
      <c r="EV33" s="39"/>
      <c r="EW33" s="41"/>
      <c r="EX33" s="39"/>
      <c r="EY33" s="39"/>
      <c r="EZ33" s="40"/>
      <c r="FA33" s="39"/>
      <c r="FB33" s="39"/>
      <c r="FC33" s="39"/>
      <c r="FD33" s="41"/>
      <c r="FE33" s="40"/>
      <c r="FF33" s="39"/>
      <c r="FG33" s="39"/>
      <c r="FH33" s="39"/>
      <c r="FI33" s="39"/>
      <c r="FJ33" s="39"/>
      <c r="FK33" s="41"/>
      <c r="FL33" s="39"/>
      <c r="FM33" s="39"/>
      <c r="FN33" s="39"/>
      <c r="FO33" s="39"/>
      <c r="FP33" s="39"/>
      <c r="FQ33" s="39"/>
      <c r="FR33" s="41"/>
      <c r="FS33" s="39"/>
      <c r="FT33" s="39"/>
      <c r="FU33" s="39"/>
      <c r="FV33" s="39"/>
      <c r="FW33" s="39"/>
      <c r="FX33" s="39"/>
      <c r="FY33" s="41"/>
      <c r="FZ33" s="39"/>
      <c r="GA33" s="39"/>
      <c r="GB33" s="39"/>
      <c r="GC33" s="39"/>
      <c r="GD33" s="39"/>
      <c r="GE33" s="39"/>
      <c r="GF33" s="41"/>
      <c r="GG33" s="39"/>
      <c r="GH33" s="39"/>
      <c r="GI33" s="39"/>
      <c r="GJ33" s="39"/>
      <c r="GK33" s="39"/>
      <c r="GL33" s="39"/>
      <c r="GM33" s="41"/>
      <c r="GN33" s="39"/>
      <c r="GO33" s="39"/>
      <c r="GP33" s="39"/>
      <c r="GQ33" s="39"/>
      <c r="GR33" s="39"/>
      <c r="GS33" s="39"/>
      <c r="GT33" s="41"/>
      <c r="GU33" s="39"/>
      <c r="GV33" s="39"/>
      <c r="GW33" s="39"/>
      <c r="GX33" s="39"/>
      <c r="GY33" s="39"/>
      <c r="GZ33" s="39"/>
      <c r="HA33" s="41"/>
      <c r="HB33" s="39"/>
      <c r="HC33" s="39"/>
      <c r="HD33" s="39"/>
      <c r="HE33" s="39"/>
      <c r="HF33" s="39"/>
      <c r="HG33" s="39"/>
      <c r="HH33" s="41"/>
      <c r="HI33" s="39"/>
      <c r="HJ33" s="39"/>
      <c r="HK33" s="39"/>
      <c r="HL33" s="39"/>
      <c r="HM33" s="39"/>
      <c r="HN33" s="39"/>
      <c r="HO33" s="41"/>
      <c r="HP33" s="39"/>
      <c r="HQ33" s="39"/>
      <c r="HR33" s="39"/>
      <c r="HS33" s="39"/>
      <c r="HT33" s="39"/>
      <c r="HU33" s="39"/>
      <c r="HV33" s="41"/>
      <c r="HW33" s="39"/>
      <c r="HX33" s="39"/>
      <c r="HY33" s="39"/>
      <c r="HZ33" s="39"/>
      <c r="IA33" s="39"/>
      <c r="IB33" s="39"/>
      <c r="IC33" s="41"/>
      <c r="ID33" s="39"/>
      <c r="IE33" s="39"/>
      <c r="IF33" s="39"/>
      <c r="IG33" s="39"/>
      <c r="IH33" s="39"/>
      <c r="II33" s="39"/>
      <c r="IJ33" s="41"/>
      <c r="IK33" s="39"/>
      <c r="IL33" s="39"/>
      <c r="IM33" s="39"/>
      <c r="IN33" s="39"/>
      <c r="IO33" s="39"/>
      <c r="IP33" s="39"/>
      <c r="IQ33" s="41"/>
      <c r="IR33" s="39"/>
      <c r="IS33" s="39"/>
      <c r="IT33" s="39"/>
      <c r="IU33" s="39"/>
      <c r="IV33" s="39"/>
      <c r="IW33" s="39"/>
      <c r="IX33" s="41"/>
      <c r="IY33" s="39"/>
      <c r="IZ33" s="39"/>
      <c r="JA33" s="39"/>
      <c r="JB33" s="39"/>
      <c r="JC33" s="39"/>
      <c r="JD33" s="39"/>
      <c r="JE33" s="41"/>
      <c r="JF33" s="39"/>
      <c r="JG33" s="39"/>
      <c r="JH33" s="39"/>
      <c r="JI33" s="39"/>
      <c r="JJ33" s="39"/>
      <c r="JK33" s="39"/>
      <c r="JL33" s="41"/>
      <c r="JM33" s="39"/>
      <c r="JN33" s="39"/>
      <c r="JO33" s="39"/>
      <c r="JP33" s="39"/>
      <c r="JQ33" s="39"/>
      <c r="JR33" s="39"/>
      <c r="JS33" s="41"/>
      <c r="JT33" s="39"/>
      <c r="JU33" s="39"/>
      <c r="JV33" s="39"/>
      <c r="JW33" s="39"/>
      <c r="JX33" s="39"/>
      <c r="JY33" s="39"/>
      <c r="JZ33" s="41"/>
      <c r="KA33" s="39"/>
      <c r="KB33" s="39"/>
      <c r="KC33" s="39"/>
      <c r="KD33" s="39"/>
      <c r="KE33" s="39"/>
      <c r="KF33" s="40"/>
      <c r="KG33" s="41"/>
      <c r="KH33" s="39"/>
      <c r="KI33" s="39"/>
      <c r="KJ33" s="39"/>
      <c r="KK33" s="39"/>
      <c r="KL33" s="39"/>
      <c r="KM33" s="39"/>
      <c r="KN33" s="41"/>
      <c r="KO33" s="39"/>
      <c r="KP33" s="40"/>
      <c r="KQ33" s="39"/>
      <c r="KR33" s="39"/>
      <c r="KS33" s="39"/>
      <c r="KT33" s="39"/>
      <c r="KU33" s="41"/>
      <c r="KV33" s="39"/>
      <c r="KW33" s="39"/>
      <c r="KX33" s="39"/>
      <c r="KY33" s="39"/>
      <c r="KZ33" s="39"/>
      <c r="LA33" s="39"/>
      <c r="LB33" s="41"/>
      <c r="LC33" s="39"/>
      <c r="LD33" s="39"/>
      <c r="LE33" s="39"/>
      <c r="LF33" s="39"/>
      <c r="LG33" s="39"/>
      <c r="LH33" s="39"/>
      <c r="LI33" s="41"/>
      <c r="LJ33" s="39"/>
      <c r="LK33" s="39"/>
      <c r="LL33" s="39"/>
      <c r="LM33" s="39"/>
      <c r="LN33" s="39"/>
      <c r="LO33" s="39"/>
      <c r="LP33" s="41"/>
      <c r="LQ33" s="39"/>
      <c r="LR33" s="39"/>
      <c r="LS33" s="39"/>
      <c r="LT33" s="39"/>
      <c r="LU33" s="39"/>
      <c r="LV33" s="39"/>
      <c r="LW33" s="41"/>
      <c r="LX33" s="39"/>
      <c r="LY33" s="39"/>
      <c r="LZ33" s="39"/>
      <c r="MA33" s="39"/>
      <c r="MB33" s="39"/>
      <c r="MC33" s="39"/>
      <c r="MD33" s="41"/>
      <c r="ME33" s="39"/>
      <c r="MF33" s="39"/>
      <c r="MG33" s="39"/>
      <c r="MH33" s="39"/>
      <c r="MI33" s="39"/>
      <c r="MJ33" s="39"/>
      <c r="MK33" s="41"/>
      <c r="ML33" s="39"/>
      <c r="MM33" s="39"/>
      <c r="MN33" s="39"/>
      <c r="MO33" s="39"/>
      <c r="MP33" s="39"/>
      <c r="MQ33" s="40"/>
      <c r="MR33" s="41"/>
      <c r="MS33" s="39"/>
      <c r="MT33" s="39"/>
      <c r="MU33" s="39"/>
      <c r="MV33" s="39"/>
      <c r="MW33" s="39"/>
      <c r="MX33" s="39"/>
      <c r="MY33" s="41"/>
      <c r="MZ33" s="39"/>
      <c r="NA33" s="39"/>
      <c r="NB33" s="39"/>
      <c r="NC33" s="39"/>
      <c r="ND33" s="40"/>
      <c r="NE33" s="40"/>
      <c r="NF33" s="41"/>
      <c r="NG33" s="39"/>
      <c r="NH33" s="39"/>
      <c r="NI33" s="39"/>
      <c r="NJ33" s="42"/>
    </row>
    <row r="34" spans="1:374">
      <c r="A34" s="145" t="s">
        <v>447</v>
      </c>
      <c r="B34" s="48" t="s">
        <v>448</v>
      </c>
      <c r="C34" s="48" t="s">
        <v>449</v>
      </c>
      <c r="D34" s="39"/>
      <c r="E34" s="39">
        <v>21</v>
      </c>
      <c r="F34" s="39">
        <f t="shared" si="0"/>
        <v>0</v>
      </c>
      <c r="G34" s="39">
        <f t="shared" si="1"/>
        <v>21</v>
      </c>
      <c r="H34" s="39">
        <f t="shared" si="2"/>
        <v>0</v>
      </c>
      <c r="I34" s="39">
        <f t="shared" si="4"/>
        <v>21</v>
      </c>
      <c r="J34" s="40"/>
      <c r="K34" s="39"/>
      <c r="L34" s="39"/>
      <c r="M34" s="41"/>
      <c r="N34" s="39"/>
      <c r="O34" s="39"/>
      <c r="P34" s="39"/>
      <c r="Q34" s="39"/>
      <c r="R34" s="39"/>
      <c r="S34" s="39"/>
      <c r="T34" s="41"/>
      <c r="U34" s="39"/>
      <c r="V34" s="39"/>
      <c r="W34" s="39"/>
      <c r="X34" s="39"/>
      <c r="Y34" s="39"/>
      <c r="Z34" s="39"/>
      <c r="AA34" s="41"/>
      <c r="AB34" s="39"/>
      <c r="AC34" s="39"/>
      <c r="AD34" s="39"/>
      <c r="AE34" s="39"/>
      <c r="AF34" s="39"/>
      <c r="AG34" s="39"/>
      <c r="AH34" s="41"/>
      <c r="AI34" s="39"/>
      <c r="AJ34" s="39"/>
      <c r="AK34" s="39"/>
      <c r="AL34" s="39"/>
      <c r="AM34" s="39"/>
      <c r="AN34" s="39"/>
      <c r="AO34" s="41"/>
      <c r="AP34" s="39"/>
      <c r="AQ34" s="39"/>
      <c r="AR34" s="39"/>
      <c r="AS34" s="39"/>
      <c r="AT34" s="39"/>
      <c r="AU34" s="39"/>
      <c r="AV34" s="41"/>
      <c r="AW34" s="39"/>
      <c r="AX34" s="39"/>
      <c r="AY34" s="39"/>
      <c r="AZ34" s="39"/>
      <c r="BA34" s="39"/>
      <c r="BB34" s="39"/>
      <c r="BC34" s="41"/>
      <c r="BD34" s="39"/>
      <c r="BE34" s="39"/>
      <c r="BF34" s="39"/>
      <c r="BG34" s="39"/>
      <c r="BH34" s="39"/>
      <c r="BI34" s="39"/>
      <c r="BJ34" s="41"/>
      <c r="BK34" s="39"/>
      <c r="BL34" s="39"/>
      <c r="BM34" s="39"/>
      <c r="BN34" s="39"/>
      <c r="BO34" s="39"/>
      <c r="BP34" s="39"/>
      <c r="BQ34" s="41"/>
      <c r="BR34" s="39"/>
      <c r="BS34" s="39"/>
      <c r="BT34" s="39"/>
      <c r="BU34" s="39"/>
      <c r="BV34" s="39"/>
      <c r="BW34" s="39"/>
      <c r="BX34" s="41"/>
      <c r="BY34" s="39"/>
      <c r="BZ34" s="39"/>
      <c r="CA34" s="39"/>
      <c r="CB34" s="39"/>
      <c r="CC34" s="39"/>
      <c r="CD34" s="39"/>
      <c r="CE34" s="41"/>
      <c r="CF34" s="39"/>
      <c r="CG34" s="39"/>
      <c r="CH34" s="39"/>
      <c r="CI34" s="39"/>
      <c r="CJ34" s="40"/>
      <c r="CK34" s="39"/>
      <c r="CL34" s="41"/>
      <c r="CM34" s="39"/>
      <c r="CN34" s="39"/>
      <c r="CO34" s="39"/>
      <c r="CP34" s="39"/>
      <c r="CQ34" s="39"/>
      <c r="CR34" s="39"/>
      <c r="CS34" s="41"/>
      <c r="CT34" s="39"/>
      <c r="CU34" s="39"/>
      <c r="CV34" s="39"/>
      <c r="CW34" s="39"/>
      <c r="CX34" s="40"/>
      <c r="CY34" s="39"/>
      <c r="CZ34" s="40"/>
      <c r="DA34" s="40"/>
      <c r="DB34" s="39"/>
      <c r="DC34" s="39"/>
      <c r="DD34" s="39"/>
      <c r="DE34" s="39"/>
      <c r="DF34" s="39"/>
      <c r="DG34" s="41"/>
      <c r="DH34" s="39"/>
      <c r="DI34" s="39"/>
      <c r="DJ34" s="39"/>
      <c r="DK34" s="39"/>
      <c r="DL34" s="39"/>
      <c r="DM34" s="39"/>
      <c r="DN34" s="41"/>
      <c r="DO34" s="39"/>
      <c r="DP34" s="39"/>
      <c r="DQ34" s="39"/>
      <c r="DR34" s="39"/>
      <c r="DS34" s="39"/>
      <c r="DT34" s="39"/>
      <c r="DU34" s="41"/>
      <c r="DV34" s="39"/>
      <c r="DW34" s="39"/>
      <c r="DX34" s="39"/>
      <c r="DY34" s="39"/>
      <c r="DZ34" s="40"/>
      <c r="EA34" s="39"/>
      <c r="EB34" s="41"/>
      <c r="EC34" s="39"/>
      <c r="ED34" s="39"/>
      <c r="EE34" s="39"/>
      <c r="EF34" s="39"/>
      <c r="EG34" s="39"/>
      <c r="EH34" s="39"/>
      <c r="EI34" s="41"/>
      <c r="EJ34" s="39"/>
      <c r="EK34" s="39"/>
      <c r="EL34" s="39"/>
      <c r="EM34" s="39"/>
      <c r="EN34" s="39"/>
      <c r="EO34" s="39"/>
      <c r="EP34" s="41"/>
      <c r="EQ34" s="39"/>
      <c r="ER34" s="39"/>
      <c r="ES34" s="39"/>
      <c r="ET34" s="39"/>
      <c r="EU34" s="39"/>
      <c r="EV34" s="39"/>
      <c r="EW34" s="41"/>
      <c r="EX34" s="39"/>
      <c r="EY34" s="39"/>
      <c r="EZ34" s="40"/>
      <c r="FA34" s="39"/>
      <c r="FB34" s="39"/>
      <c r="FC34" s="39"/>
      <c r="FD34" s="41"/>
      <c r="FE34" s="40"/>
      <c r="FF34" s="39"/>
      <c r="FG34" s="39"/>
      <c r="FH34" s="39"/>
      <c r="FI34" s="39"/>
      <c r="FJ34" s="39"/>
      <c r="FK34" s="41"/>
      <c r="FL34" s="39"/>
      <c r="FM34" s="39"/>
      <c r="FN34" s="39"/>
      <c r="FO34" s="39"/>
      <c r="FP34" s="39"/>
      <c r="FQ34" s="39"/>
      <c r="FR34" s="41"/>
      <c r="FS34" s="39"/>
      <c r="FT34" s="39"/>
      <c r="FU34" s="39"/>
      <c r="FV34" s="39"/>
      <c r="FW34" s="39"/>
      <c r="FX34" s="39"/>
      <c r="FY34" s="41"/>
      <c r="FZ34" s="39"/>
      <c r="GA34" s="39"/>
      <c r="GB34" s="39"/>
      <c r="GC34" s="39"/>
      <c r="GD34" s="39"/>
      <c r="GE34" s="39"/>
      <c r="GF34" s="41"/>
      <c r="GG34" s="39"/>
      <c r="GH34" s="39"/>
      <c r="GI34" s="39"/>
      <c r="GJ34" s="39"/>
      <c r="GK34" s="39"/>
      <c r="GL34" s="39"/>
      <c r="GM34" s="41"/>
      <c r="GN34" s="39"/>
      <c r="GO34" s="39"/>
      <c r="GP34" s="39"/>
      <c r="GQ34" s="39"/>
      <c r="GR34" s="39"/>
      <c r="GS34" s="39"/>
      <c r="GT34" s="41"/>
      <c r="GU34" s="39"/>
      <c r="GV34" s="39"/>
      <c r="GW34" s="39"/>
      <c r="GX34" s="39"/>
      <c r="GY34" s="39"/>
      <c r="GZ34" s="39"/>
      <c r="HA34" s="41"/>
      <c r="HB34" s="39"/>
      <c r="HC34" s="39"/>
      <c r="HD34" s="39"/>
      <c r="HE34" s="39"/>
      <c r="HF34" s="39"/>
      <c r="HG34" s="39"/>
      <c r="HH34" s="41"/>
      <c r="HI34" s="39"/>
      <c r="HJ34" s="39"/>
      <c r="HK34" s="39"/>
      <c r="HL34" s="39"/>
      <c r="HM34" s="39"/>
      <c r="HN34" s="39"/>
      <c r="HO34" s="41"/>
      <c r="HP34" s="39"/>
      <c r="HQ34" s="39"/>
      <c r="HR34" s="39"/>
      <c r="HS34" s="39"/>
      <c r="HT34" s="39"/>
      <c r="HU34" s="39"/>
      <c r="HV34" s="41"/>
      <c r="HW34" s="39"/>
      <c r="HX34" s="39"/>
      <c r="HY34" s="39"/>
      <c r="HZ34" s="39"/>
      <c r="IA34" s="39"/>
      <c r="IB34" s="39"/>
      <c r="IC34" s="41"/>
      <c r="ID34" s="39"/>
      <c r="IE34" s="39"/>
      <c r="IF34" s="39"/>
      <c r="IG34" s="39"/>
      <c r="IH34" s="39"/>
      <c r="II34" s="39"/>
      <c r="IJ34" s="41"/>
      <c r="IK34" s="39"/>
      <c r="IL34" s="39"/>
      <c r="IM34" s="39"/>
      <c r="IN34" s="39"/>
      <c r="IO34" s="39"/>
      <c r="IP34" s="39"/>
      <c r="IQ34" s="41"/>
      <c r="IR34" s="39"/>
      <c r="IS34" s="39"/>
      <c r="IT34" s="39"/>
      <c r="IU34" s="39"/>
      <c r="IV34" s="39"/>
      <c r="IW34" s="39"/>
      <c r="IX34" s="41"/>
      <c r="IY34" s="39"/>
      <c r="IZ34" s="39"/>
      <c r="JA34" s="39"/>
      <c r="JB34" s="39"/>
      <c r="JC34" s="39"/>
      <c r="JD34" s="39"/>
      <c r="JE34" s="41"/>
      <c r="JF34" s="39"/>
      <c r="JG34" s="39"/>
      <c r="JH34" s="39"/>
      <c r="JI34" s="39"/>
      <c r="JJ34" s="39"/>
      <c r="JK34" s="39"/>
      <c r="JL34" s="41"/>
      <c r="JM34" s="39"/>
      <c r="JN34" s="39"/>
      <c r="JO34" s="39"/>
      <c r="JP34" s="39"/>
      <c r="JQ34" s="39"/>
      <c r="JR34" s="39"/>
      <c r="JS34" s="41"/>
      <c r="JT34" s="39"/>
      <c r="JU34" s="39"/>
      <c r="JV34" s="39"/>
      <c r="JW34" s="39"/>
      <c r="JX34" s="39"/>
      <c r="JY34" s="39"/>
      <c r="JZ34" s="41"/>
      <c r="KA34" s="39"/>
      <c r="KB34" s="39"/>
      <c r="KC34" s="39"/>
      <c r="KD34" s="39"/>
      <c r="KE34" s="39"/>
      <c r="KF34" s="40"/>
      <c r="KG34" s="41"/>
      <c r="KH34" s="39"/>
      <c r="KI34" s="39"/>
      <c r="KJ34" s="39"/>
      <c r="KK34" s="39"/>
      <c r="KL34" s="39"/>
      <c r="KM34" s="39"/>
      <c r="KN34" s="41"/>
      <c r="KO34" s="39"/>
      <c r="KP34" s="40"/>
      <c r="KQ34" s="39"/>
      <c r="KR34" s="39"/>
      <c r="KS34" s="39"/>
      <c r="KT34" s="39"/>
      <c r="KU34" s="41"/>
      <c r="KV34" s="39"/>
      <c r="KW34" s="39"/>
      <c r="KX34" s="39"/>
      <c r="KY34" s="39"/>
      <c r="KZ34" s="39"/>
      <c r="LA34" s="39"/>
      <c r="LB34" s="41"/>
      <c r="LC34" s="39"/>
      <c r="LD34" s="39"/>
      <c r="LE34" s="39"/>
      <c r="LF34" s="39"/>
      <c r="LG34" s="39"/>
      <c r="LH34" s="39"/>
      <c r="LI34" s="41"/>
      <c r="LJ34" s="39"/>
      <c r="LK34" s="39"/>
      <c r="LL34" s="39"/>
      <c r="LM34" s="39"/>
      <c r="LN34" s="39"/>
      <c r="LO34" s="39"/>
      <c r="LP34" s="41"/>
      <c r="LQ34" s="39"/>
      <c r="LR34" s="39"/>
      <c r="LS34" s="39"/>
      <c r="LT34" s="39"/>
      <c r="LU34" s="39"/>
      <c r="LV34" s="39"/>
      <c r="LW34" s="41"/>
      <c r="LX34" s="39"/>
      <c r="LY34" s="39"/>
      <c r="LZ34" s="39"/>
      <c r="MA34" s="39"/>
      <c r="MB34" s="39"/>
      <c r="MC34" s="39"/>
      <c r="MD34" s="41"/>
      <c r="ME34" s="39"/>
      <c r="MF34" s="39"/>
      <c r="MG34" s="39"/>
      <c r="MH34" s="39"/>
      <c r="MI34" s="39"/>
      <c r="MJ34" s="39"/>
      <c r="MK34" s="41"/>
      <c r="ML34" s="39"/>
      <c r="MM34" s="39"/>
      <c r="MN34" s="39"/>
      <c r="MO34" s="39"/>
      <c r="MP34" s="39"/>
      <c r="MQ34" s="40"/>
      <c r="MR34" s="41"/>
      <c r="MS34" s="39"/>
      <c r="MT34" s="39"/>
      <c r="MU34" s="39"/>
      <c r="MV34" s="39"/>
      <c r="MW34" s="39"/>
      <c r="MX34" s="39"/>
      <c r="MY34" s="41"/>
      <c r="MZ34" s="39"/>
      <c r="NA34" s="39"/>
      <c r="NB34" s="39"/>
      <c r="NC34" s="39"/>
      <c r="ND34" s="40"/>
      <c r="NE34" s="40"/>
      <c r="NF34" s="41"/>
      <c r="NG34" s="39"/>
      <c r="NH34" s="39"/>
      <c r="NI34" s="39"/>
      <c r="NJ34" s="42"/>
    </row>
    <row r="35" ht="14.75" spans="1:374">
      <c r="A35" s="148" t="s">
        <v>447</v>
      </c>
      <c r="B35" s="55" t="s">
        <v>450</v>
      </c>
      <c r="C35" s="55" t="s">
        <v>418</v>
      </c>
      <c r="D35" s="56"/>
      <c r="E35" s="56">
        <v>21</v>
      </c>
      <c r="F35" s="56">
        <f t="shared" si="0"/>
        <v>0</v>
      </c>
      <c r="G35" s="56">
        <f t="shared" si="1"/>
        <v>21</v>
      </c>
      <c r="H35" s="56">
        <f t="shared" si="2"/>
        <v>0</v>
      </c>
      <c r="I35" s="56">
        <f t="shared" si="4"/>
        <v>21</v>
      </c>
      <c r="J35" s="57"/>
      <c r="K35" s="56"/>
      <c r="L35" s="56"/>
      <c r="M35" s="58"/>
      <c r="N35" s="56"/>
      <c r="O35" s="56"/>
      <c r="P35" s="56"/>
      <c r="Q35" s="56"/>
      <c r="R35" s="56"/>
      <c r="S35" s="56"/>
      <c r="T35" s="58"/>
      <c r="U35" s="56"/>
      <c r="V35" s="56"/>
      <c r="W35" s="56"/>
      <c r="X35" s="56"/>
      <c r="Y35" s="56"/>
      <c r="Z35" s="56"/>
      <c r="AA35" s="59"/>
      <c r="AB35" s="56"/>
      <c r="AC35" s="56"/>
      <c r="AD35" s="56"/>
      <c r="AE35" s="56"/>
      <c r="AF35" s="56"/>
      <c r="AG35" s="56"/>
      <c r="AH35" s="58"/>
      <c r="AI35" s="56"/>
      <c r="AJ35" s="56"/>
      <c r="AK35" s="56"/>
      <c r="AL35" s="56"/>
      <c r="AM35" s="56"/>
      <c r="AN35" s="56"/>
      <c r="AO35" s="58"/>
      <c r="AP35" s="56"/>
      <c r="AQ35" s="56"/>
      <c r="AR35" s="56"/>
      <c r="AS35" s="56"/>
      <c r="AT35" s="56"/>
      <c r="AU35" s="56"/>
      <c r="AV35" s="58"/>
      <c r="AW35" s="56"/>
      <c r="AX35" s="56"/>
      <c r="AY35" s="56"/>
      <c r="AZ35" s="56"/>
      <c r="BA35" s="56"/>
      <c r="BB35" s="56"/>
      <c r="BC35" s="58"/>
      <c r="BD35" s="56"/>
      <c r="BE35" s="56"/>
      <c r="BF35" s="56"/>
      <c r="BG35" s="56"/>
      <c r="BH35" s="56"/>
      <c r="BI35" s="56"/>
      <c r="BJ35" s="58"/>
      <c r="BK35" s="56"/>
      <c r="BL35" s="56"/>
      <c r="BM35" s="56"/>
      <c r="BN35" s="56"/>
      <c r="BO35" s="56"/>
      <c r="BP35" s="56"/>
      <c r="BQ35" s="58"/>
      <c r="BR35" s="56"/>
      <c r="BS35" s="56"/>
      <c r="BT35" s="56"/>
      <c r="BU35" s="56"/>
      <c r="BV35" s="56"/>
      <c r="BW35" s="56"/>
      <c r="BX35" s="58"/>
      <c r="BY35" s="56"/>
      <c r="BZ35" s="56"/>
      <c r="CA35" s="56"/>
      <c r="CB35" s="56"/>
      <c r="CC35" s="56"/>
      <c r="CD35" s="56"/>
      <c r="CE35" s="58"/>
      <c r="CF35" s="56"/>
      <c r="CG35" s="56"/>
      <c r="CH35" s="56"/>
      <c r="CI35" s="56"/>
      <c r="CJ35" s="57"/>
      <c r="CK35" s="56"/>
      <c r="CL35" s="58"/>
      <c r="CM35" s="56"/>
      <c r="CN35" s="56"/>
      <c r="CO35" s="56"/>
      <c r="CP35" s="56"/>
      <c r="CQ35" s="56"/>
      <c r="CR35" s="56"/>
      <c r="CS35" s="58"/>
      <c r="CT35" s="56"/>
      <c r="CU35" s="56"/>
      <c r="CV35" s="56"/>
      <c r="CW35" s="56"/>
      <c r="CX35" s="57"/>
      <c r="CY35" s="56"/>
      <c r="CZ35" s="57"/>
      <c r="DA35" s="57"/>
      <c r="DB35" s="56"/>
      <c r="DC35" s="56"/>
      <c r="DD35" s="56"/>
      <c r="DE35" s="56"/>
      <c r="DF35" s="56"/>
      <c r="DG35" s="58"/>
      <c r="DH35" s="56"/>
      <c r="DI35" s="56"/>
      <c r="DJ35" s="56"/>
      <c r="DK35" s="56"/>
      <c r="DL35" s="56"/>
      <c r="DM35" s="56"/>
      <c r="DN35" s="58"/>
      <c r="DO35" s="56"/>
      <c r="DP35" s="56"/>
      <c r="DQ35" s="56"/>
      <c r="DR35" s="56"/>
      <c r="DS35" s="56"/>
      <c r="DT35" s="56"/>
      <c r="DU35" s="58"/>
      <c r="DV35" s="56"/>
      <c r="DW35" s="56"/>
      <c r="DX35" s="56"/>
      <c r="DY35" s="56"/>
      <c r="DZ35" s="57"/>
      <c r="EA35" s="56"/>
      <c r="EB35" s="58"/>
      <c r="EC35" s="56"/>
      <c r="ED35" s="56"/>
      <c r="EE35" s="56"/>
      <c r="EF35" s="56"/>
      <c r="EG35" s="56"/>
      <c r="EH35" s="56"/>
      <c r="EI35" s="58"/>
      <c r="EJ35" s="56"/>
      <c r="EK35" s="56"/>
      <c r="EL35" s="56"/>
      <c r="EM35" s="56"/>
      <c r="EN35" s="56"/>
      <c r="EO35" s="56"/>
      <c r="EP35" s="58"/>
      <c r="EQ35" s="56"/>
      <c r="ER35" s="56"/>
      <c r="ES35" s="56"/>
      <c r="ET35" s="56"/>
      <c r="EU35" s="56"/>
      <c r="EV35" s="56"/>
      <c r="EW35" s="58"/>
      <c r="EX35" s="56"/>
      <c r="EY35" s="56"/>
      <c r="EZ35" s="57"/>
      <c r="FA35" s="56"/>
      <c r="FB35" s="56"/>
      <c r="FC35" s="56"/>
      <c r="FD35" s="58"/>
      <c r="FE35" s="57"/>
      <c r="FF35" s="56"/>
      <c r="FG35" s="56"/>
      <c r="FH35" s="56"/>
      <c r="FI35" s="56"/>
      <c r="FJ35" s="56"/>
      <c r="FK35" s="58"/>
      <c r="FL35" s="56"/>
      <c r="FM35" s="56"/>
      <c r="FN35" s="56"/>
      <c r="FO35" s="56"/>
      <c r="FP35" s="56"/>
      <c r="FQ35" s="56"/>
      <c r="FR35" s="58"/>
      <c r="FS35" s="56"/>
      <c r="FT35" s="56"/>
      <c r="FU35" s="56"/>
      <c r="FV35" s="56"/>
      <c r="FW35" s="56"/>
      <c r="FX35" s="56"/>
      <c r="FY35" s="58"/>
      <c r="FZ35" s="56"/>
      <c r="GA35" s="56"/>
      <c r="GB35" s="56"/>
      <c r="GC35" s="56"/>
      <c r="GD35" s="56"/>
      <c r="GE35" s="56"/>
      <c r="GF35" s="58"/>
      <c r="GG35" s="56"/>
      <c r="GH35" s="56"/>
      <c r="GI35" s="56"/>
      <c r="GJ35" s="56"/>
      <c r="GK35" s="56"/>
      <c r="GL35" s="56"/>
      <c r="GM35" s="58"/>
      <c r="GN35" s="56"/>
      <c r="GO35" s="56"/>
      <c r="GP35" s="56"/>
      <c r="GQ35" s="56"/>
      <c r="GR35" s="56"/>
      <c r="GS35" s="56"/>
      <c r="GT35" s="58"/>
      <c r="GU35" s="56"/>
      <c r="GV35" s="56"/>
      <c r="GW35" s="56"/>
      <c r="GX35" s="56"/>
      <c r="GY35" s="56"/>
      <c r="GZ35" s="56"/>
      <c r="HA35" s="58"/>
      <c r="HB35" s="56"/>
      <c r="HC35" s="56"/>
      <c r="HD35" s="56"/>
      <c r="HE35" s="56"/>
      <c r="HF35" s="56"/>
      <c r="HG35" s="56"/>
      <c r="HH35" s="58"/>
      <c r="HI35" s="56"/>
      <c r="HJ35" s="56"/>
      <c r="HK35" s="56"/>
      <c r="HL35" s="56"/>
      <c r="HM35" s="56"/>
      <c r="HN35" s="56"/>
      <c r="HO35" s="58"/>
      <c r="HP35" s="56"/>
      <c r="HQ35" s="56"/>
      <c r="HR35" s="56"/>
      <c r="HS35" s="56"/>
      <c r="HT35" s="56"/>
      <c r="HU35" s="56"/>
      <c r="HV35" s="58"/>
      <c r="HW35" s="56"/>
      <c r="HX35" s="56"/>
      <c r="HY35" s="56"/>
      <c r="HZ35" s="56"/>
      <c r="IA35" s="56"/>
      <c r="IB35" s="56"/>
      <c r="IC35" s="58"/>
      <c r="ID35" s="56"/>
      <c r="IE35" s="56"/>
      <c r="IF35" s="56"/>
      <c r="IG35" s="56"/>
      <c r="IH35" s="56"/>
      <c r="II35" s="56"/>
      <c r="IJ35" s="58"/>
      <c r="IK35" s="56"/>
      <c r="IL35" s="56"/>
      <c r="IM35" s="56"/>
      <c r="IN35" s="56"/>
      <c r="IO35" s="56"/>
      <c r="IP35" s="56"/>
      <c r="IQ35" s="58"/>
      <c r="IR35" s="56"/>
      <c r="IS35" s="56"/>
      <c r="IT35" s="56"/>
      <c r="IU35" s="56"/>
      <c r="IV35" s="56"/>
      <c r="IW35" s="56"/>
      <c r="IX35" s="58"/>
      <c r="IY35" s="56"/>
      <c r="IZ35" s="56"/>
      <c r="JA35" s="56"/>
      <c r="JB35" s="56"/>
      <c r="JC35" s="56"/>
      <c r="JD35" s="56"/>
      <c r="JE35" s="58"/>
      <c r="JF35" s="56"/>
      <c r="JG35" s="56"/>
      <c r="JH35" s="56"/>
      <c r="JI35" s="56"/>
      <c r="JJ35" s="56"/>
      <c r="JK35" s="56"/>
      <c r="JL35" s="58"/>
      <c r="JM35" s="56"/>
      <c r="JN35" s="56"/>
      <c r="JO35" s="56"/>
      <c r="JP35" s="56"/>
      <c r="JQ35" s="56"/>
      <c r="JR35" s="56"/>
      <c r="JS35" s="58"/>
      <c r="JT35" s="56"/>
      <c r="JU35" s="56"/>
      <c r="JV35" s="56"/>
      <c r="JW35" s="56"/>
      <c r="JX35" s="56"/>
      <c r="JY35" s="56"/>
      <c r="JZ35" s="58"/>
      <c r="KA35" s="56"/>
      <c r="KB35" s="56"/>
      <c r="KC35" s="56"/>
      <c r="KD35" s="56"/>
      <c r="KE35" s="56"/>
      <c r="KF35" s="57"/>
      <c r="KG35" s="58"/>
      <c r="KH35" s="56"/>
      <c r="KI35" s="56"/>
      <c r="KJ35" s="56"/>
      <c r="KK35" s="56"/>
      <c r="KL35" s="56"/>
      <c r="KM35" s="56"/>
      <c r="KN35" s="58"/>
      <c r="KO35" s="56"/>
      <c r="KP35" s="57"/>
      <c r="KQ35" s="56"/>
      <c r="KR35" s="56"/>
      <c r="KS35" s="56"/>
      <c r="KT35" s="56"/>
      <c r="KU35" s="58"/>
      <c r="KV35" s="56"/>
      <c r="KW35" s="56"/>
      <c r="KX35" s="56"/>
      <c r="KY35" s="56"/>
      <c r="KZ35" s="56"/>
      <c r="LA35" s="56"/>
      <c r="LB35" s="58"/>
      <c r="LC35" s="56"/>
      <c r="LD35" s="56"/>
      <c r="LE35" s="56"/>
      <c r="LF35" s="56"/>
      <c r="LG35" s="56"/>
      <c r="LH35" s="56"/>
      <c r="LI35" s="58"/>
      <c r="LJ35" s="56"/>
      <c r="LK35" s="56"/>
      <c r="LL35" s="56"/>
      <c r="LM35" s="56"/>
      <c r="LN35" s="56"/>
      <c r="LO35" s="56"/>
      <c r="LP35" s="58"/>
      <c r="LQ35" s="56"/>
      <c r="LR35" s="56"/>
      <c r="LS35" s="56"/>
      <c r="LT35" s="56"/>
      <c r="LU35" s="56"/>
      <c r="LV35" s="56"/>
      <c r="LW35" s="58"/>
      <c r="LX35" s="56"/>
      <c r="LY35" s="56"/>
      <c r="LZ35" s="56"/>
      <c r="MA35" s="56"/>
      <c r="MB35" s="56"/>
      <c r="MC35" s="56"/>
      <c r="MD35" s="58"/>
      <c r="ME35" s="56"/>
      <c r="MF35" s="56"/>
      <c r="MG35" s="56"/>
      <c r="MH35" s="56"/>
      <c r="MI35" s="56"/>
      <c r="MJ35" s="56"/>
      <c r="MK35" s="58"/>
      <c r="ML35" s="56"/>
      <c r="MM35" s="56"/>
      <c r="MN35" s="56"/>
      <c r="MO35" s="56"/>
      <c r="MP35" s="56"/>
      <c r="MQ35" s="57"/>
      <c r="MR35" s="58"/>
      <c r="MS35" s="56"/>
      <c r="MT35" s="56"/>
      <c r="MU35" s="56"/>
      <c r="MV35" s="56"/>
      <c r="MW35" s="56"/>
      <c r="MX35" s="56"/>
      <c r="MY35" s="58"/>
      <c r="MZ35" s="56"/>
      <c r="NA35" s="56"/>
      <c r="NB35" s="56"/>
      <c r="NC35" s="56"/>
      <c r="ND35" s="57"/>
      <c r="NE35" s="57"/>
      <c r="NF35" s="58"/>
      <c r="NG35" s="56"/>
      <c r="NH35" s="56"/>
      <c r="NI35" s="56"/>
      <c r="NJ35" s="60"/>
    </row>
    <row r="36" spans="1:374">
      <c r="J36" s="61"/>
      <c r="M36" s="62"/>
      <c r="T36" s="62"/>
      <c r="AH36" s="62"/>
      <c r="AO36" s="62"/>
      <c r="AV36" s="62"/>
      <c r="BC36" s="62"/>
      <c r="BJ36" s="62"/>
      <c r="BQ36" s="62"/>
      <c r="BX36" s="62"/>
      <c r="CE36" s="62"/>
      <c r="CJ36" s="61"/>
      <c r="CL36" s="62"/>
      <c r="CS36" s="62"/>
      <c r="CX36" s="61"/>
      <c r="CZ36" s="61"/>
      <c r="DA36" s="61"/>
      <c r="DG36" s="62"/>
      <c r="DN36" s="62"/>
      <c r="DU36" s="62"/>
      <c r="DZ36" s="61"/>
      <c r="EB36" s="62"/>
      <c r="EI36" s="62"/>
      <c r="EP36" s="62"/>
      <c r="EW36" s="62"/>
      <c r="EZ36" s="61"/>
      <c r="FD36" s="63"/>
      <c r="FE36" s="61"/>
      <c r="FK36" s="62"/>
      <c r="FR36" s="62"/>
      <c r="FY36" s="62"/>
      <c r="GF36" s="62"/>
      <c r="GM36" s="62"/>
      <c r="GT36" s="62"/>
      <c r="HA36" s="62"/>
      <c r="HH36" s="62"/>
      <c r="HO36" s="62"/>
      <c r="HV36" s="62"/>
      <c r="IC36" s="62"/>
      <c r="IJ36" s="62"/>
      <c r="IQ36" s="62"/>
      <c r="IX36" s="62"/>
      <c r="JE36" s="62"/>
      <c r="JL36" s="62"/>
      <c r="JS36" s="62"/>
      <c r="JZ36" s="62"/>
      <c r="KF36" s="61"/>
      <c r="KG36" s="62"/>
      <c r="KN36" s="62"/>
      <c r="KP36" s="61"/>
      <c r="KU36" s="62"/>
      <c r="LB36" s="62"/>
      <c r="LI36" s="62"/>
      <c r="LP36" s="62"/>
      <c r="LW36" s="62"/>
      <c r="MD36" s="62"/>
      <c r="MK36" s="62"/>
      <c r="MQ36" s="61"/>
      <c r="MR36" s="62"/>
      <c r="MY36" s="62"/>
      <c r="ND36" s="61"/>
      <c r="NE36" s="61"/>
      <c r="NF36" s="62"/>
    </row>
    <row r="37" spans="1:374">
      <c r="J37" s="61"/>
      <c r="M37" s="62"/>
      <c r="T37" s="62"/>
      <c r="AH37" s="62"/>
      <c r="AO37" s="62"/>
      <c r="AV37" s="62"/>
      <c r="BC37" s="62"/>
      <c r="BJ37" s="62"/>
      <c r="BQ37" s="62"/>
      <c r="BX37" s="62"/>
      <c r="CE37" s="62"/>
      <c r="CJ37" s="61"/>
      <c r="CL37" s="62"/>
      <c r="CS37" s="62"/>
      <c r="CX37" s="61"/>
      <c r="CZ37" s="61"/>
      <c r="DA37" s="61"/>
      <c r="DG37" s="62"/>
      <c r="DN37" s="62"/>
      <c r="DU37" s="62"/>
      <c r="DZ37" s="61"/>
      <c r="EB37" s="62"/>
      <c r="EI37" s="62"/>
      <c r="EP37" s="62"/>
      <c r="EW37" s="62"/>
      <c r="EZ37" s="61"/>
      <c r="FD37" s="63"/>
      <c r="FE37" s="61"/>
      <c r="FK37" s="62"/>
      <c r="FR37" s="62"/>
      <c r="FY37" s="62"/>
      <c r="GF37" s="62"/>
      <c r="GM37" s="62"/>
      <c r="GT37" s="62"/>
      <c r="HA37" s="62"/>
      <c r="HH37" s="62"/>
      <c r="HO37" s="62"/>
      <c r="HV37" s="62"/>
      <c r="IC37" s="62"/>
      <c r="IJ37" s="62"/>
      <c r="IQ37" s="62"/>
      <c r="IX37" s="62"/>
      <c r="JE37" s="62"/>
      <c r="JL37" s="62"/>
      <c r="JS37" s="62"/>
      <c r="JZ37" s="62"/>
      <c r="KF37" s="61"/>
      <c r="KG37" s="62"/>
      <c r="KN37" s="62"/>
      <c r="KP37" s="61"/>
      <c r="KU37" s="62"/>
      <c r="LB37" s="62"/>
      <c r="LI37" s="62"/>
      <c r="LP37" s="62"/>
      <c r="MD37" s="62"/>
      <c r="MK37" s="62"/>
      <c r="MQ37" s="61"/>
      <c r="MR37" s="62"/>
      <c r="MY37" s="62"/>
      <c r="ND37" s="61"/>
      <c r="NE37" s="61"/>
      <c r="NF37" s="62"/>
    </row>
    <row r="38" spans="1:374">
      <c r="J38" s="61"/>
      <c r="M38" s="62"/>
      <c r="T38" s="62"/>
      <c r="AH38" s="62"/>
      <c r="AO38" s="62"/>
      <c r="AV38" s="62"/>
      <c r="BC38" s="62"/>
      <c r="BJ38" s="62"/>
      <c r="BQ38" s="62"/>
      <c r="BX38" s="62"/>
      <c r="CE38" s="62"/>
      <c r="CJ38" s="61"/>
      <c r="CL38" s="62"/>
      <c r="CS38" s="62"/>
      <c r="CX38" s="61"/>
      <c r="CZ38" s="61"/>
      <c r="DA38" s="61"/>
      <c r="DG38" s="62"/>
      <c r="DN38" s="62"/>
      <c r="DU38" s="62"/>
      <c r="DZ38" s="61"/>
      <c r="EB38" s="62"/>
      <c r="EI38" s="62"/>
      <c r="EP38" s="62"/>
      <c r="EW38" s="62"/>
      <c r="EZ38" s="61"/>
      <c r="FD38" s="63"/>
      <c r="FE38" s="61"/>
      <c r="FK38" s="62"/>
      <c r="FR38" s="62"/>
      <c r="FY38" s="62"/>
      <c r="GF38" s="62"/>
      <c r="GM38" s="62"/>
      <c r="GT38" s="62"/>
      <c r="HA38" s="62"/>
      <c r="HH38" s="62"/>
      <c r="HO38" s="62"/>
      <c r="HV38" s="62"/>
      <c r="IC38" s="62"/>
      <c r="IJ38" s="62"/>
      <c r="IQ38" s="62"/>
      <c r="IX38" s="62"/>
      <c r="JE38" s="62"/>
      <c r="JL38" s="62"/>
      <c r="JS38" s="62"/>
      <c r="JZ38" s="62"/>
      <c r="KF38" s="61"/>
      <c r="KG38" s="62"/>
      <c r="KN38" s="62"/>
      <c r="KP38" s="61"/>
      <c r="KU38" s="62"/>
      <c r="LB38" s="62"/>
      <c r="LI38" s="62"/>
      <c r="LP38" s="62"/>
      <c r="MD38" s="62"/>
      <c r="MK38" s="62"/>
      <c r="MQ38" s="61"/>
      <c r="MR38" s="62"/>
      <c r="MY38" s="62"/>
      <c r="ND38" s="61"/>
      <c r="NE38" s="61"/>
      <c r="NF38" s="62"/>
    </row>
    <row r="39" spans="1:374">
      <c r="J39" s="61"/>
      <c r="M39" s="62"/>
      <c r="T39" s="62"/>
      <c r="AH39" s="62"/>
      <c r="AV39" s="62"/>
      <c r="BC39" s="62"/>
      <c r="BJ39" s="62"/>
      <c r="BQ39" s="62"/>
      <c r="BX39" s="62"/>
      <c r="CE39" s="62"/>
      <c r="CJ39" s="61"/>
      <c r="CL39" s="62"/>
      <c r="CS39" s="62"/>
      <c r="CX39" s="61"/>
      <c r="CZ39" s="61"/>
      <c r="DA39" s="61"/>
      <c r="DG39" s="62"/>
      <c r="DN39" s="62"/>
      <c r="DU39" s="62"/>
      <c r="DZ39" s="61"/>
      <c r="EB39" s="62"/>
      <c r="EI39" s="62"/>
      <c r="EP39" s="62"/>
      <c r="EW39" s="62"/>
      <c r="EZ39" s="61"/>
      <c r="FD39" s="63"/>
      <c r="FE39" s="61"/>
      <c r="FK39" s="62"/>
      <c r="FR39" s="62"/>
      <c r="FY39" s="62"/>
      <c r="GF39" s="62"/>
      <c r="GM39" s="62"/>
      <c r="GT39" s="62"/>
      <c r="HA39" s="62"/>
      <c r="HH39" s="62"/>
      <c r="HO39" s="62"/>
      <c r="HV39" s="62"/>
      <c r="IC39" s="62"/>
      <c r="IJ39" s="62"/>
      <c r="IQ39" s="62"/>
      <c r="IX39" s="62"/>
      <c r="JE39" s="62"/>
      <c r="JL39" s="62"/>
      <c r="JS39" s="62"/>
      <c r="JZ39" s="62"/>
      <c r="KF39" s="61"/>
      <c r="KG39" s="62"/>
      <c r="KN39" s="62"/>
      <c r="KP39" s="61"/>
      <c r="KU39" s="62"/>
      <c r="LB39" s="62"/>
      <c r="LI39" s="62"/>
      <c r="LP39" s="62"/>
      <c r="MD39" s="62"/>
      <c r="MK39" s="62"/>
      <c r="MQ39" s="61"/>
      <c r="MR39" s="62"/>
      <c r="MY39" s="62"/>
      <c r="ND39" s="61"/>
      <c r="NE39" s="61"/>
      <c r="NF39" s="62"/>
    </row>
    <row r="40" spans="1:374">
      <c r="J40" s="61"/>
      <c r="M40" s="62"/>
      <c r="T40" s="62"/>
      <c r="AH40" s="62"/>
      <c r="AV40" s="62"/>
      <c r="BJ40" s="62"/>
      <c r="BQ40" s="62"/>
      <c r="BX40" s="62"/>
      <c r="CE40" s="62"/>
      <c r="CJ40" s="61"/>
      <c r="CL40" s="62"/>
      <c r="CS40" s="62"/>
      <c r="CX40" s="61"/>
      <c r="CZ40" s="61"/>
      <c r="DA40" s="61"/>
      <c r="DG40" s="62"/>
      <c r="DN40" s="62"/>
      <c r="DU40" s="62"/>
      <c r="DZ40" s="61"/>
      <c r="EB40" s="62"/>
      <c r="EI40" s="62"/>
      <c r="EP40" s="62"/>
      <c r="EW40" s="62"/>
      <c r="EZ40" s="61"/>
      <c r="FD40" s="63"/>
      <c r="FE40" s="61"/>
      <c r="FK40" s="62"/>
      <c r="FR40" s="62"/>
      <c r="FY40" s="62"/>
      <c r="GF40" s="62"/>
      <c r="GM40" s="62"/>
      <c r="GT40" s="62"/>
      <c r="HA40" s="62"/>
      <c r="HH40" s="62"/>
      <c r="HO40" s="62"/>
      <c r="HV40" s="62"/>
      <c r="IC40" s="62"/>
      <c r="IJ40" s="62"/>
      <c r="IQ40" s="62"/>
      <c r="IX40" s="62"/>
      <c r="JE40" s="62"/>
      <c r="JL40" s="62"/>
      <c r="JS40" s="62"/>
      <c r="JZ40" s="62"/>
      <c r="KF40" s="61"/>
      <c r="KG40" s="62"/>
      <c r="KN40" s="62"/>
      <c r="KP40" s="61"/>
      <c r="KU40" s="62"/>
      <c r="LB40" s="62"/>
      <c r="LI40" s="62"/>
      <c r="LP40" s="62"/>
      <c r="MD40" s="62"/>
      <c r="MK40" s="62"/>
      <c r="MQ40" s="61"/>
      <c r="MR40" s="62"/>
      <c r="MY40" s="62"/>
      <c r="ND40" s="61"/>
      <c r="NE40" s="61"/>
      <c r="NF40" s="62"/>
    </row>
    <row r="41" spans="1:374">
      <c r="J41" s="61"/>
      <c r="M41" s="62"/>
      <c r="T41" s="62"/>
      <c r="AH41" s="62"/>
      <c r="AV41" s="62"/>
      <c r="BJ41" s="62"/>
      <c r="BQ41" s="62"/>
      <c r="BX41" s="62"/>
      <c r="CE41" s="62"/>
      <c r="CJ41" s="61"/>
      <c r="CL41" s="62"/>
      <c r="CS41" s="62"/>
      <c r="CX41" s="61"/>
      <c r="CZ41" s="61"/>
      <c r="DA41" s="61"/>
      <c r="DG41" s="62"/>
      <c r="DN41" s="62"/>
      <c r="DU41" s="62"/>
      <c r="DZ41" s="61"/>
      <c r="EB41" s="62"/>
      <c r="EI41" s="62"/>
      <c r="EP41" s="62"/>
      <c r="EW41" s="62"/>
      <c r="EZ41" s="61"/>
      <c r="FD41" s="63"/>
      <c r="FE41" s="61"/>
      <c r="FK41" s="62"/>
      <c r="FR41" s="62"/>
      <c r="FY41" s="62"/>
      <c r="GF41" s="62"/>
      <c r="GM41" s="62"/>
      <c r="GT41" s="62"/>
      <c r="HA41" s="62"/>
      <c r="HH41" s="62"/>
      <c r="HO41" s="62"/>
      <c r="HV41" s="62"/>
      <c r="IC41" s="62"/>
      <c r="IJ41" s="62"/>
      <c r="IQ41" s="62"/>
      <c r="IX41" s="62"/>
      <c r="JE41" s="62"/>
      <c r="JL41" s="62"/>
      <c r="JS41" s="62"/>
      <c r="JZ41" s="62"/>
      <c r="KF41" s="61"/>
      <c r="KG41" s="62"/>
      <c r="KN41" s="62"/>
      <c r="KP41" s="61"/>
      <c r="KU41" s="62"/>
      <c r="LB41" s="62"/>
      <c r="LI41" s="62"/>
      <c r="LP41" s="62"/>
      <c r="MD41" s="62"/>
      <c r="MK41" s="62"/>
      <c r="MQ41" s="61"/>
      <c r="MR41" s="62"/>
      <c r="MY41" s="62"/>
      <c r="ND41" s="61"/>
      <c r="NE41" s="61"/>
      <c r="NF41" s="62"/>
    </row>
    <row r="42" spans="1:374">
      <c r="J42" s="61"/>
      <c r="M42" s="62"/>
      <c r="T42" s="62"/>
      <c r="AH42" s="62"/>
      <c r="AV42" s="62"/>
      <c r="BJ42" s="62"/>
      <c r="BQ42" s="62"/>
      <c r="BX42" s="62"/>
      <c r="CE42" s="62"/>
      <c r="CJ42" s="61"/>
      <c r="CL42" s="62"/>
      <c r="CS42" s="62"/>
      <c r="CX42" s="61"/>
      <c r="CZ42" s="61"/>
      <c r="DA42" s="61"/>
      <c r="DG42" s="62"/>
      <c r="DN42" s="62"/>
      <c r="DU42" s="62"/>
      <c r="DZ42" s="61"/>
      <c r="EB42" s="62"/>
      <c r="EI42" s="62"/>
      <c r="EP42" s="62"/>
      <c r="EW42" s="62"/>
      <c r="EZ42" s="61"/>
      <c r="FD42" s="63"/>
      <c r="FE42" s="61"/>
      <c r="FK42" s="62"/>
      <c r="FR42" s="62"/>
      <c r="FY42" s="62"/>
      <c r="GF42" s="62"/>
      <c r="GM42" s="62"/>
      <c r="GT42" s="62"/>
      <c r="HA42" s="62"/>
      <c r="HH42" s="62"/>
      <c r="HO42" s="62"/>
      <c r="HV42" s="62"/>
      <c r="IC42" s="62"/>
      <c r="IJ42" s="62"/>
      <c r="IQ42" s="62"/>
      <c r="IX42" s="62"/>
      <c r="JE42" s="62"/>
      <c r="JL42" s="62"/>
      <c r="JS42" s="62"/>
      <c r="JZ42" s="62"/>
      <c r="KF42" s="61"/>
      <c r="KG42" s="62"/>
      <c r="KN42" s="62"/>
      <c r="KP42" s="61"/>
      <c r="KU42" s="62"/>
      <c r="LB42" s="62"/>
      <c r="LI42" s="62"/>
      <c r="LP42" s="62"/>
      <c r="MD42" s="62"/>
      <c r="MK42" s="62"/>
      <c r="MQ42" s="61"/>
      <c r="MR42" s="62"/>
      <c r="MY42" s="62"/>
      <c r="ND42" s="61"/>
      <c r="NE42" s="61"/>
      <c r="NF42" s="62"/>
    </row>
    <row r="43" spans="1:374">
      <c r="J43" s="61"/>
      <c r="M43" s="62"/>
      <c r="T43" s="62"/>
      <c r="AH43" s="62"/>
      <c r="AV43" s="62"/>
      <c r="BQ43" s="62"/>
      <c r="CE43" s="62"/>
      <c r="CJ43" s="61"/>
      <c r="CL43" s="62"/>
      <c r="CS43" s="62"/>
      <c r="CX43" s="61"/>
      <c r="CZ43" s="61"/>
      <c r="DA43" s="61"/>
      <c r="DG43" s="62"/>
      <c r="DN43" s="62"/>
      <c r="DU43" s="62"/>
      <c r="DZ43" s="61"/>
      <c r="EB43" s="62"/>
      <c r="EI43" s="62"/>
      <c r="EP43" s="62"/>
      <c r="EW43" s="62"/>
      <c r="EZ43" s="61"/>
      <c r="FD43" s="63"/>
      <c r="FE43" s="61"/>
      <c r="FK43" s="62"/>
      <c r="FR43" s="62"/>
      <c r="FY43" s="62"/>
      <c r="GF43" s="62"/>
      <c r="GM43" s="62"/>
      <c r="GT43" s="62"/>
      <c r="HA43" s="62"/>
      <c r="HH43" s="62"/>
      <c r="HO43" s="62"/>
      <c r="HV43" s="62"/>
      <c r="IC43" s="62"/>
      <c r="IJ43" s="62"/>
      <c r="IQ43" s="62"/>
      <c r="IX43" s="62"/>
      <c r="JE43" s="62"/>
      <c r="JL43" s="62"/>
      <c r="JS43" s="62"/>
      <c r="JZ43" s="62"/>
      <c r="KF43" s="61"/>
      <c r="KG43" s="62"/>
      <c r="KN43" s="62"/>
      <c r="KP43" s="61"/>
      <c r="KU43" s="62"/>
      <c r="LB43" s="62"/>
      <c r="LI43" s="62"/>
      <c r="LP43" s="62"/>
      <c r="MD43" s="62"/>
      <c r="MK43" s="62"/>
      <c r="MQ43" s="61"/>
      <c r="MR43" s="62"/>
      <c r="MY43" s="62"/>
    </row>
    <row r="44" spans="1:374">
      <c r="J44" s="61"/>
      <c r="M44" s="62"/>
      <c r="T44" s="62"/>
      <c r="AH44" s="62"/>
      <c r="AV44" s="62"/>
      <c r="BQ44" s="62"/>
      <c r="CE44" s="62"/>
      <c r="CJ44" s="61"/>
      <c r="CL44" s="62"/>
      <c r="CS44" s="62"/>
      <c r="CX44" s="61"/>
      <c r="CZ44" s="61"/>
      <c r="DA44" s="61"/>
      <c r="DG44" s="62"/>
      <c r="DN44" s="62"/>
      <c r="DU44" s="62"/>
      <c r="DZ44" s="61"/>
      <c r="EB44" s="62"/>
      <c r="EI44" s="62"/>
      <c r="EP44" s="62"/>
      <c r="EW44" s="62"/>
      <c r="EZ44" s="61"/>
      <c r="FD44" s="63"/>
      <c r="FE44" s="61"/>
      <c r="FK44" s="62"/>
      <c r="FR44" s="62"/>
      <c r="FY44" s="62"/>
      <c r="GF44" s="62"/>
      <c r="GM44" s="62"/>
      <c r="GT44" s="62"/>
      <c r="HA44" s="62"/>
      <c r="HH44" s="62"/>
      <c r="HO44" s="62"/>
      <c r="HV44" s="62"/>
      <c r="IC44" s="62"/>
      <c r="IJ44" s="62"/>
      <c r="IQ44" s="62"/>
      <c r="IX44" s="62"/>
      <c r="JE44" s="62"/>
      <c r="JL44" s="62"/>
      <c r="JS44" s="62"/>
      <c r="JZ44" s="62"/>
      <c r="KF44" s="61"/>
      <c r="KG44" s="62"/>
      <c r="KN44" s="62"/>
      <c r="KP44" s="61"/>
      <c r="KU44" s="62"/>
      <c r="LB44" s="62"/>
      <c r="LI44" s="62"/>
      <c r="LP44" s="62"/>
      <c r="MD44" s="62"/>
      <c r="MK44" s="62"/>
      <c r="MQ44" s="61"/>
      <c r="MR44" s="62"/>
      <c r="MY44" s="62"/>
    </row>
    <row r="45" spans="1:374">
      <c r="J45" s="61"/>
      <c r="M45" s="62"/>
      <c r="T45" s="62"/>
      <c r="AH45" s="62"/>
      <c r="AV45" s="62"/>
      <c r="CE45" s="62"/>
      <c r="CJ45" s="61"/>
      <c r="CL45" s="62"/>
      <c r="CS45" s="62"/>
      <c r="CX45" s="61"/>
      <c r="CZ45" s="61"/>
      <c r="DA45" s="61"/>
      <c r="DG45" s="62"/>
      <c r="DN45" s="62"/>
      <c r="DU45" s="62"/>
      <c r="DZ45" s="61"/>
      <c r="EB45" s="62"/>
      <c r="EI45" s="62"/>
      <c r="EP45" s="62"/>
      <c r="EW45" s="62"/>
      <c r="EZ45" s="61"/>
      <c r="FD45" s="63"/>
      <c r="FE45" s="61"/>
      <c r="FK45" s="62"/>
      <c r="FR45" s="62"/>
      <c r="FY45" s="62"/>
      <c r="GF45" s="62"/>
      <c r="GM45" s="62"/>
      <c r="GT45" s="62"/>
      <c r="HA45" s="62"/>
      <c r="HH45" s="62"/>
      <c r="HO45" s="62"/>
      <c r="HV45" s="62"/>
      <c r="IC45" s="62"/>
      <c r="IJ45" s="62"/>
      <c r="IQ45" s="62"/>
      <c r="IX45" s="62"/>
      <c r="JE45" s="62"/>
      <c r="JL45" s="62"/>
      <c r="JS45" s="62"/>
      <c r="JZ45" s="62"/>
      <c r="KF45" s="61"/>
      <c r="KG45" s="62"/>
      <c r="KN45" s="62"/>
      <c r="KP45" s="61"/>
      <c r="KU45" s="62"/>
      <c r="LB45" s="62"/>
      <c r="LI45" s="62"/>
      <c r="LP45" s="62"/>
      <c r="MD45" s="62"/>
      <c r="MK45" s="62"/>
      <c r="MQ45" s="61"/>
      <c r="MR45" s="62"/>
      <c r="MY45" s="62"/>
    </row>
    <row r="46" spans="1:374">
      <c r="J46" s="61"/>
      <c r="M46" s="62"/>
      <c r="T46" s="62"/>
      <c r="AH46" s="62"/>
      <c r="AV46" s="62"/>
      <c r="CE46" s="62"/>
      <c r="CJ46" s="61"/>
      <c r="CL46" s="62"/>
      <c r="CS46" s="62"/>
      <c r="CX46" s="61"/>
      <c r="CZ46" s="61"/>
      <c r="DA46" s="61"/>
      <c r="DG46" s="62"/>
      <c r="DN46" s="62"/>
      <c r="DU46" s="62"/>
      <c r="DZ46" s="61"/>
      <c r="EB46" s="62"/>
      <c r="EI46" s="62"/>
      <c r="EP46" s="62"/>
      <c r="EW46" s="62"/>
      <c r="EZ46" s="61"/>
      <c r="FD46" s="63"/>
      <c r="FE46" s="61"/>
      <c r="FK46" s="62"/>
      <c r="FR46" s="62"/>
      <c r="FY46" s="62"/>
      <c r="GF46" s="62"/>
      <c r="GM46" s="62"/>
      <c r="GT46" s="62"/>
      <c r="HA46" s="62"/>
      <c r="HH46" s="62"/>
      <c r="HO46" s="62"/>
      <c r="HV46" s="62"/>
      <c r="IC46" s="62"/>
      <c r="IJ46" s="62"/>
      <c r="IQ46" s="62"/>
      <c r="IX46" s="62"/>
      <c r="JE46" s="62"/>
      <c r="JL46" s="62"/>
      <c r="JS46" s="62"/>
      <c r="JZ46" s="62"/>
      <c r="KF46" s="61"/>
      <c r="KG46" s="62"/>
      <c r="KN46" s="62"/>
      <c r="KP46" s="61"/>
      <c r="KU46" s="62"/>
      <c r="LB46" s="62"/>
      <c r="LI46" s="62"/>
      <c r="LP46" s="62"/>
      <c r="MD46" s="62"/>
      <c r="MK46" s="62"/>
      <c r="MQ46" s="61"/>
      <c r="MR46" s="62"/>
      <c r="MY46" s="62"/>
    </row>
    <row r="47" spans="1:374">
      <c r="J47" s="61"/>
      <c r="M47" s="62"/>
      <c r="T47" s="62"/>
      <c r="AH47" s="62"/>
      <c r="AV47" s="62"/>
      <c r="CE47" s="62"/>
      <c r="CJ47" s="61"/>
      <c r="CL47" s="62"/>
      <c r="CS47" s="62"/>
      <c r="CX47" s="61"/>
      <c r="CZ47" s="61"/>
      <c r="DA47" s="61"/>
      <c r="DG47" s="62"/>
      <c r="DN47" s="62"/>
      <c r="DU47" s="62"/>
      <c r="DZ47" s="61"/>
      <c r="EB47" s="62"/>
      <c r="EI47" s="62"/>
      <c r="EP47" s="62"/>
      <c r="EW47" s="62"/>
      <c r="EZ47" s="61"/>
      <c r="FD47" s="63"/>
      <c r="FE47" s="61"/>
      <c r="FK47" s="62"/>
      <c r="FR47" s="62"/>
      <c r="FY47" s="62"/>
      <c r="GF47" s="62"/>
      <c r="GM47" s="62"/>
      <c r="GT47" s="62"/>
      <c r="HA47" s="62"/>
      <c r="HH47" s="62"/>
      <c r="HO47" s="62"/>
      <c r="HV47" s="62"/>
      <c r="IC47" s="62"/>
      <c r="IJ47" s="62"/>
      <c r="IQ47" s="62"/>
      <c r="IX47" s="62"/>
      <c r="JE47" s="62"/>
      <c r="JL47" s="62"/>
      <c r="JS47" s="62"/>
      <c r="JZ47" s="62"/>
      <c r="KF47" s="61"/>
      <c r="KG47" s="62"/>
      <c r="KN47" s="62"/>
      <c r="KP47" s="61"/>
      <c r="KU47" s="62"/>
      <c r="LB47" s="62"/>
      <c r="LI47" s="62"/>
      <c r="LP47" s="62"/>
      <c r="MD47" s="62"/>
      <c r="MK47" s="62"/>
      <c r="MQ47" s="61"/>
      <c r="MR47" s="62"/>
      <c r="MY47" s="62"/>
    </row>
    <row r="48" spans="1:374">
      <c r="J48" s="61"/>
      <c r="M48" s="62"/>
      <c r="T48" s="62"/>
      <c r="AH48" s="62"/>
      <c r="AV48" s="62"/>
      <c r="CE48" s="62"/>
      <c r="CJ48" s="61"/>
      <c r="CL48" s="62"/>
      <c r="CS48" s="62"/>
      <c r="CZ48" s="61"/>
      <c r="DA48" s="61"/>
      <c r="DG48" s="62"/>
      <c r="DN48" s="62"/>
      <c r="DU48" s="62"/>
      <c r="DZ48" s="61"/>
      <c r="EB48" s="62"/>
      <c r="EI48" s="62"/>
      <c r="EP48" s="62"/>
      <c r="EW48" s="62"/>
      <c r="EZ48" s="61"/>
      <c r="FD48" s="63"/>
      <c r="FE48" s="61"/>
      <c r="FK48" s="62"/>
      <c r="FR48" s="62"/>
      <c r="FY48" s="62"/>
      <c r="GF48" s="62"/>
      <c r="GM48" s="62"/>
      <c r="GT48" s="62"/>
      <c r="HA48" s="62"/>
      <c r="HH48" s="62"/>
      <c r="HO48" s="62"/>
      <c r="HV48" s="62"/>
      <c r="IC48" s="62"/>
      <c r="IJ48" s="62"/>
      <c r="IQ48" s="62"/>
      <c r="IX48" s="62"/>
      <c r="JE48" s="62"/>
      <c r="JL48" s="62"/>
      <c r="JS48" s="62"/>
      <c r="JZ48" s="62"/>
      <c r="KF48" s="61"/>
      <c r="KG48" s="62"/>
      <c r="KN48" s="62"/>
      <c r="KP48" s="61"/>
      <c r="KU48" s="62"/>
      <c r="LB48" s="62"/>
      <c r="LI48" s="62"/>
      <c r="LP48" s="62"/>
      <c r="MD48" s="62"/>
      <c r="MK48" s="62"/>
      <c r="MQ48" s="61"/>
      <c r="MR48" s="62"/>
      <c r="MY48" s="62"/>
    </row>
    <row r="49" spans="13:363">
      <c r="M49" s="62"/>
      <c r="T49" s="62"/>
      <c r="AH49" s="62"/>
      <c r="AV49" s="62"/>
      <c r="CE49" s="62"/>
      <c r="CJ49" s="61"/>
      <c r="CL49" s="62"/>
      <c r="CS49" s="62"/>
      <c r="CZ49" s="61"/>
      <c r="DA49" s="61"/>
      <c r="DG49" s="62"/>
      <c r="DN49" s="62"/>
      <c r="DU49" s="62"/>
      <c r="DZ49" s="61"/>
      <c r="EB49" s="62"/>
      <c r="EI49" s="62"/>
      <c r="EP49" s="62"/>
      <c r="EW49" s="62"/>
      <c r="EZ49" s="61"/>
      <c r="FD49" s="63"/>
      <c r="FE49" s="61"/>
      <c r="FK49" s="62"/>
      <c r="FR49" s="62"/>
      <c r="FY49" s="62"/>
      <c r="GF49" s="62"/>
      <c r="GM49" s="62"/>
      <c r="GT49" s="62"/>
      <c r="HA49" s="62"/>
      <c r="HH49" s="62"/>
      <c r="HO49" s="62"/>
      <c r="HV49" s="62"/>
      <c r="IC49" s="62"/>
      <c r="IJ49" s="62"/>
      <c r="IQ49" s="62"/>
      <c r="IX49" s="62"/>
      <c r="JE49" s="62"/>
      <c r="JL49" s="62"/>
      <c r="JS49" s="62"/>
      <c r="JZ49" s="62"/>
      <c r="KF49" s="61"/>
      <c r="KG49" s="62"/>
      <c r="KN49" s="62"/>
      <c r="KP49" s="61"/>
      <c r="KU49" s="62"/>
      <c r="LB49" s="62"/>
      <c r="LI49" s="62"/>
      <c r="LP49" s="62"/>
      <c r="MD49" s="62"/>
      <c r="MK49" s="62"/>
      <c r="MQ49" s="61"/>
      <c r="MR49" s="62"/>
      <c r="MY49" s="62"/>
    </row>
    <row r="50" spans="13:363">
      <c r="M50" s="62"/>
      <c r="AH50" s="62"/>
      <c r="CE50" s="62"/>
      <c r="CJ50" s="61"/>
      <c r="CL50" s="62"/>
      <c r="CZ50" s="61"/>
      <c r="DA50" s="61"/>
      <c r="DG50" s="62"/>
      <c r="DN50" s="62"/>
      <c r="DU50" s="62"/>
      <c r="DZ50" s="61"/>
      <c r="EB50" s="62"/>
      <c r="EI50" s="62"/>
      <c r="EP50" s="62"/>
      <c r="EW50" s="62"/>
      <c r="EZ50" s="61"/>
      <c r="FD50" s="63"/>
      <c r="FE50" s="61"/>
      <c r="FK50" s="62"/>
      <c r="FR50" s="62"/>
      <c r="FY50" s="62"/>
      <c r="GF50" s="62"/>
      <c r="GM50" s="62"/>
      <c r="GT50" s="62"/>
      <c r="HA50" s="62"/>
      <c r="HH50" s="62"/>
      <c r="HO50" s="62"/>
      <c r="HV50" s="62"/>
      <c r="IC50" s="62"/>
      <c r="IJ50" s="62"/>
      <c r="IQ50" s="62"/>
      <c r="IX50" s="62"/>
      <c r="JE50" s="62"/>
      <c r="JL50" s="62"/>
      <c r="JS50" s="62"/>
      <c r="JZ50" s="62"/>
      <c r="KF50" s="61"/>
      <c r="KG50" s="62"/>
      <c r="KN50" s="62"/>
      <c r="KP50" s="61"/>
      <c r="KU50" s="62"/>
      <c r="LB50" s="62"/>
      <c r="LI50" s="62"/>
      <c r="LP50" s="62"/>
      <c r="MD50" s="62"/>
      <c r="MK50" s="62"/>
      <c r="MQ50" s="61"/>
      <c r="MR50" s="62"/>
      <c r="MY50" s="62"/>
    </row>
    <row r="51" spans="13:363">
      <c r="CL51" s="62"/>
      <c r="CZ51" s="61"/>
      <c r="DA51" s="61"/>
      <c r="DG51" s="62"/>
      <c r="DN51" s="62"/>
      <c r="DU51" s="62"/>
      <c r="DZ51" s="61"/>
      <c r="EB51" s="62"/>
      <c r="EI51" s="62"/>
      <c r="EP51" s="62"/>
      <c r="EW51" s="62"/>
      <c r="EZ51" s="61"/>
      <c r="FD51" s="63"/>
      <c r="FE51" s="61"/>
      <c r="FK51" s="62"/>
      <c r="FR51" s="62"/>
      <c r="FY51" s="62"/>
      <c r="GF51" s="62"/>
      <c r="GM51" s="62"/>
      <c r="GT51" s="62"/>
      <c r="HA51" s="62"/>
      <c r="HH51" s="62"/>
      <c r="HO51" s="62"/>
      <c r="HV51" s="62"/>
      <c r="IC51" s="62"/>
      <c r="IJ51" s="62"/>
      <c r="IQ51" s="62"/>
      <c r="IX51" s="62"/>
      <c r="JE51" s="62"/>
      <c r="JL51" s="62"/>
      <c r="JS51" s="62"/>
      <c r="JZ51" s="62"/>
      <c r="KF51" s="61"/>
      <c r="KG51" s="62"/>
      <c r="KN51" s="62"/>
      <c r="KP51" s="61"/>
      <c r="KU51" s="62"/>
      <c r="LB51" s="62"/>
      <c r="LI51" s="62"/>
      <c r="LP51" s="62"/>
      <c r="MD51" s="62"/>
      <c r="MK51" s="62"/>
      <c r="MQ51" s="61"/>
      <c r="MR51" s="62"/>
      <c r="MY51" s="62"/>
    </row>
    <row r="52" spans="13:363">
      <c r="DG52" s="62"/>
      <c r="DN52" s="62"/>
      <c r="DU52" s="62"/>
      <c r="DZ52" s="61"/>
      <c r="EB52" s="62"/>
      <c r="EI52" s="62"/>
      <c r="EP52" s="62"/>
      <c r="EW52" s="62"/>
      <c r="EZ52" s="61"/>
      <c r="FD52" s="63"/>
      <c r="FE52" s="61"/>
      <c r="FK52" s="62"/>
      <c r="FR52" s="62"/>
      <c r="FY52" s="62"/>
      <c r="GF52" s="62"/>
      <c r="GM52" s="62"/>
      <c r="GT52" s="62"/>
      <c r="HA52" s="62"/>
      <c r="HH52" s="62"/>
      <c r="HO52" s="62"/>
      <c r="HV52" s="62"/>
      <c r="IC52" s="62"/>
      <c r="IJ52" s="62"/>
      <c r="IQ52" s="62"/>
      <c r="IX52" s="62"/>
      <c r="JE52" s="62"/>
      <c r="JL52" s="62"/>
      <c r="JS52" s="62"/>
      <c r="JZ52" s="62"/>
      <c r="KF52" s="61"/>
      <c r="KG52" s="62"/>
      <c r="KN52" s="62"/>
      <c r="KP52" s="61"/>
      <c r="KU52" s="62"/>
      <c r="LB52" s="62"/>
      <c r="LI52" s="62"/>
      <c r="LP52" s="62"/>
      <c r="MD52" s="62"/>
      <c r="MK52" s="62"/>
      <c r="MQ52" s="61"/>
      <c r="MR52" s="62"/>
      <c r="MY52" s="62"/>
    </row>
    <row r="53" spans="13:363">
      <c r="DU53" s="62"/>
      <c r="DZ53" s="61"/>
      <c r="EB53" s="62"/>
      <c r="EI53" s="62"/>
      <c r="EP53" s="62"/>
      <c r="EW53" s="62"/>
      <c r="EZ53" s="61"/>
      <c r="FD53" s="63"/>
      <c r="FE53" s="61"/>
      <c r="FK53" s="62"/>
      <c r="FR53" s="62"/>
      <c r="FY53" s="62"/>
      <c r="GF53" s="62"/>
      <c r="GM53" s="62"/>
      <c r="GT53" s="62"/>
      <c r="HA53" s="62"/>
      <c r="HH53" s="62"/>
      <c r="HO53" s="62"/>
      <c r="HV53" s="62"/>
      <c r="IC53" s="62"/>
      <c r="IJ53" s="62"/>
      <c r="IQ53" s="62"/>
      <c r="IX53" s="62"/>
      <c r="JE53" s="62"/>
      <c r="JL53" s="62"/>
      <c r="JS53" s="62"/>
      <c r="JZ53" s="62"/>
      <c r="KF53" s="61"/>
      <c r="KG53" s="62"/>
      <c r="KN53" s="62"/>
      <c r="KP53" s="61"/>
      <c r="KU53" s="62"/>
      <c r="LB53" s="62"/>
      <c r="LI53" s="62"/>
      <c r="LP53" s="62"/>
      <c r="MD53" s="62"/>
      <c r="MK53" s="62"/>
      <c r="MQ53" s="61"/>
      <c r="MR53" s="62"/>
      <c r="MY53" s="62"/>
    </row>
    <row r="54" spans="13:363">
      <c r="DU54" s="62"/>
      <c r="DZ54" s="61"/>
      <c r="EB54" s="62"/>
      <c r="EI54" s="62"/>
      <c r="EP54" s="62"/>
      <c r="EW54" s="62"/>
      <c r="EZ54" s="61"/>
      <c r="FD54" s="63"/>
      <c r="FE54" s="61"/>
      <c r="FK54" s="62"/>
      <c r="FR54" s="62"/>
      <c r="FY54" s="62"/>
      <c r="GF54" s="62"/>
      <c r="GM54" s="62"/>
      <c r="GT54" s="62"/>
      <c r="HA54" s="62"/>
      <c r="HH54" s="62"/>
      <c r="HO54" s="62"/>
      <c r="HV54" s="62"/>
      <c r="IC54" s="62"/>
      <c r="IJ54" s="62"/>
      <c r="IQ54" s="62"/>
      <c r="IX54" s="62"/>
      <c r="JE54" s="62"/>
      <c r="JL54" s="62"/>
      <c r="JS54" s="62"/>
      <c r="JZ54" s="62"/>
      <c r="KF54" s="61"/>
      <c r="KG54" s="62"/>
      <c r="KN54" s="62"/>
      <c r="KP54" s="61"/>
      <c r="KU54" s="62"/>
      <c r="LB54" s="62"/>
      <c r="LI54" s="62"/>
      <c r="LP54" s="62"/>
      <c r="MD54" s="62"/>
      <c r="MK54" s="62"/>
      <c r="MQ54" s="61"/>
      <c r="MR54" s="62"/>
      <c r="MY54" s="62"/>
    </row>
    <row r="55" spans="13:363">
      <c r="DZ55" s="61"/>
      <c r="EB55" s="62"/>
      <c r="EI55" s="62"/>
      <c r="EP55" s="62"/>
      <c r="EW55" s="62"/>
      <c r="EZ55" s="61"/>
      <c r="FD55" s="63"/>
      <c r="FE55" s="61"/>
      <c r="FK55" s="62"/>
      <c r="FR55" s="62"/>
      <c r="FY55" s="62"/>
      <c r="GF55" s="62"/>
      <c r="GM55" s="62"/>
      <c r="GT55" s="62"/>
      <c r="HA55" s="62"/>
      <c r="HH55" s="62"/>
      <c r="HO55" s="62"/>
      <c r="HV55" s="62"/>
      <c r="IC55" s="62"/>
      <c r="IJ55" s="62"/>
      <c r="IQ55" s="62"/>
      <c r="IX55" s="62"/>
      <c r="JE55" s="62"/>
      <c r="JL55" s="62"/>
      <c r="JS55" s="62"/>
      <c r="JZ55" s="62"/>
      <c r="KF55" s="61"/>
      <c r="KG55" s="62"/>
      <c r="KN55" s="62"/>
      <c r="KP55" s="61"/>
      <c r="KU55" s="62"/>
      <c r="LB55" s="62"/>
      <c r="LI55" s="62"/>
      <c r="LP55" s="62"/>
      <c r="MD55" s="62"/>
      <c r="MK55" s="62"/>
      <c r="MQ55" s="61"/>
      <c r="MR55" s="62"/>
      <c r="MY55" s="62"/>
    </row>
    <row r="56" spans="13:363">
      <c r="DZ56" s="61"/>
      <c r="EB56" s="62"/>
      <c r="EI56" s="62"/>
      <c r="EP56" s="62"/>
      <c r="EW56" s="62"/>
      <c r="EZ56" s="61"/>
      <c r="FD56" s="63"/>
      <c r="FE56" s="61"/>
      <c r="FK56" s="62"/>
      <c r="FR56" s="62"/>
      <c r="FY56" s="62"/>
      <c r="GF56" s="62"/>
      <c r="GM56" s="62"/>
      <c r="GT56" s="62"/>
      <c r="HA56" s="62"/>
      <c r="HH56" s="62"/>
      <c r="HO56" s="62"/>
      <c r="HV56" s="62"/>
      <c r="IC56" s="62"/>
      <c r="IJ56" s="62"/>
      <c r="IQ56" s="62"/>
      <c r="IX56" s="62"/>
      <c r="JE56" s="62"/>
      <c r="JL56" s="62"/>
      <c r="JS56" s="62"/>
      <c r="JZ56" s="62"/>
      <c r="KF56" s="61"/>
      <c r="KG56" s="62"/>
      <c r="KN56" s="62"/>
      <c r="KP56" s="61"/>
      <c r="KU56" s="62"/>
      <c r="LB56" s="62"/>
      <c r="LI56" s="62"/>
      <c r="LP56" s="62"/>
      <c r="MD56" s="62"/>
      <c r="MK56" s="62"/>
      <c r="MQ56" s="61"/>
      <c r="MR56" s="62"/>
      <c r="MY56" s="62"/>
    </row>
    <row r="57" spans="13:363">
      <c r="DZ57" s="61"/>
      <c r="EB57" s="62"/>
      <c r="EI57" s="62"/>
      <c r="EP57" s="62"/>
      <c r="EW57" s="62"/>
      <c r="EZ57" s="61"/>
      <c r="FD57" s="63"/>
      <c r="FE57" s="61"/>
      <c r="FK57" s="62"/>
      <c r="FR57" s="62"/>
      <c r="FY57" s="62"/>
      <c r="GF57" s="62"/>
      <c r="GM57" s="62"/>
      <c r="GT57" s="62"/>
      <c r="HA57" s="62"/>
      <c r="HH57" s="62"/>
      <c r="HO57" s="62"/>
      <c r="HV57" s="62"/>
      <c r="IC57" s="62"/>
      <c r="IJ57" s="62"/>
      <c r="IQ57" s="62"/>
      <c r="IX57" s="62"/>
      <c r="JE57" s="62"/>
      <c r="JL57" s="62"/>
      <c r="JS57" s="62"/>
      <c r="JZ57" s="62"/>
      <c r="KF57" s="61"/>
      <c r="KG57" s="62"/>
      <c r="KN57" s="62"/>
      <c r="KP57" s="61"/>
      <c r="KU57" s="62"/>
      <c r="LB57" s="62"/>
      <c r="LI57" s="62"/>
      <c r="LP57" s="62"/>
      <c r="MD57" s="62"/>
      <c r="MK57" s="62"/>
      <c r="MQ57" s="61"/>
      <c r="MR57" s="62"/>
      <c r="MY57" s="62"/>
    </row>
    <row r="58" spans="13:363">
      <c r="DZ58" s="61"/>
      <c r="EB58" s="62"/>
      <c r="EI58" s="62"/>
      <c r="EP58" s="62"/>
      <c r="EW58" s="62"/>
      <c r="EZ58" s="61"/>
      <c r="FD58" s="63"/>
      <c r="FE58" s="61"/>
      <c r="FK58" s="62"/>
      <c r="FR58" s="62"/>
      <c r="FY58" s="62"/>
      <c r="GF58" s="62"/>
      <c r="GM58" s="62"/>
      <c r="GT58" s="62"/>
      <c r="HA58" s="62"/>
      <c r="HH58" s="62"/>
      <c r="HO58" s="62"/>
      <c r="HV58" s="62"/>
      <c r="IC58" s="62"/>
      <c r="IJ58" s="62"/>
      <c r="IQ58" s="62"/>
      <c r="IX58" s="62"/>
      <c r="JE58" s="62"/>
      <c r="JL58" s="62"/>
      <c r="JS58" s="62"/>
      <c r="JZ58" s="62"/>
      <c r="KF58" s="61"/>
      <c r="KG58" s="62"/>
      <c r="KN58" s="62"/>
      <c r="KP58" s="61"/>
      <c r="KU58" s="62"/>
      <c r="LB58" s="62"/>
      <c r="LI58" s="62"/>
      <c r="LP58" s="62"/>
      <c r="MD58" s="62"/>
      <c r="MK58" s="62"/>
      <c r="MQ58" s="61"/>
      <c r="MR58" s="62"/>
      <c r="MY58" s="62"/>
    </row>
    <row r="59" spans="13:363">
      <c r="DZ59" s="61"/>
      <c r="EB59" s="62"/>
      <c r="EI59" s="62"/>
      <c r="EP59" s="62"/>
      <c r="EW59" s="62"/>
      <c r="EZ59" s="61"/>
      <c r="FD59" s="63"/>
      <c r="FE59" s="61"/>
      <c r="FK59" s="62"/>
      <c r="FR59" s="62"/>
      <c r="FY59" s="62"/>
      <c r="GF59" s="62"/>
      <c r="GM59" s="62"/>
      <c r="GT59" s="62"/>
      <c r="HA59" s="62"/>
      <c r="HH59" s="62"/>
      <c r="HO59" s="62"/>
      <c r="HV59" s="62"/>
      <c r="IC59" s="62"/>
      <c r="IJ59" s="62"/>
      <c r="IQ59" s="62"/>
      <c r="IX59" s="62"/>
      <c r="JE59" s="62"/>
      <c r="JL59" s="62"/>
      <c r="JS59" s="62"/>
      <c r="JZ59" s="62"/>
      <c r="KF59" s="61"/>
      <c r="KG59" s="62"/>
      <c r="KN59" s="62"/>
      <c r="KP59" s="61"/>
      <c r="KU59" s="62"/>
      <c r="LB59" s="62"/>
      <c r="LI59" s="62"/>
      <c r="LP59" s="62"/>
      <c r="MD59" s="62"/>
      <c r="MK59" s="62"/>
      <c r="MQ59" s="61"/>
      <c r="MR59" s="62"/>
      <c r="MY59" s="62"/>
    </row>
    <row r="60" spans="13:363">
      <c r="DZ60" s="61"/>
      <c r="EB60" s="62"/>
      <c r="EI60" s="62"/>
      <c r="EP60" s="62"/>
      <c r="EW60" s="62"/>
      <c r="EZ60" s="61"/>
      <c r="FD60" s="63"/>
      <c r="FE60" s="61"/>
      <c r="FK60" s="62"/>
      <c r="FR60" s="62"/>
      <c r="FY60" s="62"/>
      <c r="GF60" s="62"/>
      <c r="GM60" s="62"/>
      <c r="GT60" s="62"/>
      <c r="HA60" s="62"/>
      <c r="HO60" s="62"/>
      <c r="HV60" s="62"/>
      <c r="IC60" s="62"/>
      <c r="IJ60" s="62"/>
      <c r="IQ60" s="62"/>
      <c r="IX60" s="62"/>
      <c r="JE60" s="62"/>
      <c r="JL60" s="62"/>
      <c r="JS60" s="62"/>
      <c r="JZ60" s="62"/>
      <c r="KF60" s="61"/>
      <c r="KG60" s="62"/>
      <c r="KN60" s="62"/>
      <c r="KP60" s="61"/>
      <c r="KU60" s="62"/>
      <c r="LB60" s="62"/>
      <c r="LI60" s="62"/>
      <c r="LP60" s="62"/>
      <c r="MD60" s="62"/>
      <c r="MK60" s="62"/>
      <c r="MQ60" s="61"/>
      <c r="MR60" s="62"/>
      <c r="MY60" s="62"/>
    </row>
    <row r="61" spans="13:363">
      <c r="DZ61" s="61"/>
      <c r="EB61" s="62"/>
      <c r="EI61" s="62"/>
      <c r="EP61" s="62"/>
      <c r="EW61" s="62"/>
      <c r="EZ61" s="61"/>
      <c r="FD61" s="63"/>
      <c r="FE61" s="61"/>
      <c r="FK61" s="62"/>
      <c r="FR61" s="62"/>
      <c r="FY61" s="62"/>
      <c r="GF61" s="62"/>
      <c r="GM61" s="62"/>
      <c r="GT61" s="62"/>
      <c r="HA61" s="62"/>
      <c r="HO61" s="62"/>
      <c r="HV61" s="62"/>
      <c r="IC61" s="62"/>
      <c r="IJ61" s="62"/>
      <c r="IQ61" s="62"/>
      <c r="IX61" s="62"/>
      <c r="JE61" s="62"/>
      <c r="JL61" s="62"/>
      <c r="JS61" s="62"/>
      <c r="JZ61" s="62"/>
      <c r="KF61" s="61"/>
      <c r="KG61" s="62"/>
      <c r="KN61" s="62"/>
      <c r="KP61" s="61"/>
      <c r="KU61" s="62"/>
      <c r="LB61" s="62"/>
      <c r="LI61" s="62"/>
      <c r="LP61" s="62"/>
      <c r="MD61" s="62"/>
      <c r="MK61" s="62"/>
      <c r="MQ61" s="61"/>
      <c r="MR61" s="62"/>
      <c r="MY61" s="62"/>
    </row>
    <row r="62" spans="13:363">
      <c r="DZ62" s="61"/>
      <c r="EB62" s="62"/>
      <c r="EI62" s="62"/>
      <c r="EP62" s="62"/>
      <c r="EW62" s="62"/>
      <c r="EZ62" s="61"/>
      <c r="FD62" s="63"/>
      <c r="FE62" s="61"/>
      <c r="FK62" s="62"/>
      <c r="FR62" s="62"/>
      <c r="FY62" s="62"/>
      <c r="GF62" s="62"/>
      <c r="GM62" s="62"/>
      <c r="GT62" s="62"/>
      <c r="HA62" s="62"/>
      <c r="HO62" s="62"/>
      <c r="HV62" s="62"/>
      <c r="IC62" s="62"/>
      <c r="IJ62" s="62"/>
      <c r="IQ62" s="62"/>
      <c r="IX62" s="62"/>
      <c r="JE62" s="62"/>
      <c r="JL62" s="62"/>
      <c r="JS62" s="62"/>
      <c r="JZ62" s="62"/>
      <c r="KF62" s="61"/>
      <c r="KG62" s="62"/>
      <c r="KN62" s="62"/>
      <c r="KP62" s="61"/>
      <c r="KU62" s="62"/>
      <c r="LB62" s="62"/>
      <c r="LI62" s="62"/>
      <c r="LP62" s="62"/>
      <c r="MD62" s="62"/>
      <c r="MK62" s="62"/>
      <c r="MQ62" s="61"/>
      <c r="MR62" s="62"/>
      <c r="MY62" s="62"/>
    </row>
    <row r="63" spans="13:363">
      <c r="DZ63" s="61"/>
      <c r="EB63" s="62"/>
      <c r="EI63" s="62"/>
      <c r="EP63" s="62"/>
      <c r="EW63" s="62"/>
      <c r="EZ63" s="61"/>
      <c r="FD63" s="63"/>
      <c r="FE63" s="61"/>
      <c r="FK63" s="62"/>
      <c r="FR63" s="62"/>
      <c r="FY63" s="62"/>
      <c r="GF63" s="62"/>
      <c r="GM63" s="62"/>
      <c r="GT63" s="62"/>
      <c r="HA63" s="62"/>
      <c r="HO63" s="62"/>
      <c r="HV63" s="62"/>
      <c r="IC63" s="62"/>
      <c r="IJ63" s="62"/>
      <c r="IQ63" s="62"/>
      <c r="IX63" s="62"/>
      <c r="JE63" s="62"/>
      <c r="JL63" s="62"/>
      <c r="JS63" s="62"/>
      <c r="JZ63" s="62"/>
      <c r="KF63" s="61"/>
      <c r="KG63" s="62"/>
      <c r="KN63" s="62"/>
      <c r="KP63" s="61"/>
      <c r="KU63" s="62"/>
      <c r="LB63" s="62"/>
      <c r="LI63" s="62"/>
      <c r="LP63" s="62"/>
      <c r="MD63" s="62"/>
      <c r="MK63" s="62"/>
      <c r="MQ63" s="61"/>
      <c r="MR63" s="62"/>
      <c r="MY63" s="62"/>
    </row>
    <row r="64" spans="13:363">
      <c r="DZ64" s="61"/>
      <c r="EB64" s="62"/>
      <c r="EI64" s="62"/>
      <c r="EP64" s="62"/>
      <c r="EW64" s="62"/>
      <c r="FD64" s="63"/>
      <c r="FE64" s="61"/>
      <c r="FK64" s="62"/>
      <c r="FR64" s="62"/>
      <c r="FY64" s="62"/>
      <c r="GF64" s="62"/>
      <c r="GM64" s="62"/>
      <c r="GT64" s="62"/>
      <c r="HA64" s="62"/>
      <c r="HO64" s="62"/>
      <c r="HV64" s="62"/>
      <c r="IC64" s="62"/>
      <c r="IJ64" s="62"/>
      <c r="IQ64" s="62"/>
      <c r="IX64" s="62"/>
      <c r="JE64" s="62"/>
      <c r="JL64" s="62"/>
      <c r="JS64" s="62"/>
      <c r="JZ64" s="62"/>
      <c r="KF64" s="61"/>
      <c r="KG64" s="62"/>
      <c r="KN64" s="62"/>
      <c r="KP64" s="61"/>
      <c r="KU64" s="62"/>
      <c r="LB64" s="62"/>
      <c r="LI64" s="62"/>
      <c r="LP64" s="62"/>
      <c r="MD64" s="62"/>
      <c r="MK64" s="62"/>
      <c r="MQ64" s="61"/>
      <c r="MR64" s="62"/>
      <c r="MY64" s="62"/>
    </row>
    <row r="65" spans="130:363">
      <c r="DZ65" s="61"/>
      <c r="EB65" s="62"/>
      <c r="EI65" s="62"/>
      <c r="EP65" s="62"/>
      <c r="EW65" s="62"/>
      <c r="FD65" s="63"/>
      <c r="FE65" s="61"/>
      <c r="FK65" s="62"/>
      <c r="FR65" s="62"/>
      <c r="FY65" s="62"/>
      <c r="GF65" s="62"/>
      <c r="GM65" s="62"/>
      <c r="GT65" s="62"/>
      <c r="HA65" s="62"/>
      <c r="HO65" s="62"/>
      <c r="HV65" s="62"/>
      <c r="IC65" s="62"/>
      <c r="IJ65" s="62"/>
      <c r="IQ65" s="62"/>
      <c r="IX65" s="62"/>
      <c r="JE65" s="62"/>
      <c r="JL65" s="62"/>
      <c r="JS65" s="62"/>
      <c r="JZ65" s="62"/>
      <c r="KF65" s="61"/>
      <c r="KG65" s="62"/>
      <c r="KN65" s="62"/>
      <c r="KP65" s="61"/>
      <c r="KU65" s="62"/>
      <c r="LB65" s="62"/>
      <c r="LI65" s="62"/>
      <c r="LP65" s="62"/>
      <c r="MD65" s="62"/>
      <c r="MK65" s="62"/>
      <c r="MQ65" s="61"/>
      <c r="MR65" s="62"/>
      <c r="MY65" s="62"/>
    </row>
    <row r="66" spans="130:363">
      <c r="DZ66" s="61"/>
      <c r="EB66" s="62"/>
      <c r="EI66" s="62"/>
      <c r="EP66" s="62"/>
      <c r="EW66" s="62"/>
      <c r="FD66" s="63"/>
      <c r="FE66" s="61"/>
      <c r="FK66" s="62"/>
      <c r="FR66" s="62"/>
      <c r="FY66" s="62"/>
      <c r="GF66" s="62"/>
      <c r="GM66" s="62"/>
      <c r="GT66" s="62"/>
      <c r="HA66" s="62"/>
      <c r="HO66" s="62"/>
      <c r="HV66" s="62"/>
      <c r="IC66" s="62"/>
      <c r="IJ66" s="62"/>
      <c r="IQ66" s="62"/>
      <c r="IX66" s="62"/>
      <c r="JE66" s="62"/>
      <c r="JL66" s="62"/>
      <c r="JS66" s="62"/>
      <c r="JZ66" s="62"/>
      <c r="KF66" s="61"/>
      <c r="KG66" s="62"/>
      <c r="KN66" s="62"/>
      <c r="KP66" s="61"/>
      <c r="KU66" s="62"/>
      <c r="LB66" s="62"/>
      <c r="LI66" s="62"/>
      <c r="LP66" s="62"/>
      <c r="MD66" s="62"/>
      <c r="MK66" s="62"/>
      <c r="MQ66" s="61"/>
      <c r="MR66" s="62"/>
      <c r="MY66" s="62"/>
    </row>
    <row r="67" spans="130:363">
      <c r="DZ67" s="61"/>
      <c r="EB67" s="62"/>
      <c r="EI67" s="62"/>
      <c r="EP67" s="62"/>
      <c r="EW67" s="62"/>
      <c r="FD67" s="63"/>
      <c r="FE67" s="61"/>
      <c r="FK67" s="62"/>
      <c r="FR67" s="62"/>
      <c r="FY67" s="62"/>
      <c r="GF67" s="62"/>
      <c r="GM67" s="62"/>
      <c r="GT67" s="62"/>
      <c r="HA67" s="62"/>
      <c r="HO67" s="62"/>
      <c r="HV67" s="62"/>
      <c r="IC67" s="62"/>
      <c r="IJ67" s="62"/>
      <c r="IQ67" s="62"/>
      <c r="IX67" s="62"/>
      <c r="JE67" s="62"/>
      <c r="JL67" s="62"/>
      <c r="JS67" s="62"/>
      <c r="JZ67" s="62"/>
      <c r="KF67" s="61"/>
      <c r="KG67" s="62"/>
      <c r="KN67" s="62"/>
      <c r="KP67" s="61"/>
      <c r="KU67" s="62"/>
      <c r="LB67" s="62"/>
      <c r="LI67" s="62"/>
      <c r="LP67" s="62"/>
      <c r="MD67" s="62"/>
      <c r="MK67" s="62"/>
      <c r="MQ67" s="61"/>
      <c r="MR67" s="62"/>
      <c r="MY67" s="62"/>
    </row>
    <row r="68" spans="130:363">
      <c r="DZ68" s="61"/>
      <c r="EB68" s="62"/>
      <c r="EI68" s="62"/>
      <c r="EP68" s="62"/>
      <c r="EW68" s="62"/>
      <c r="FD68" s="63"/>
      <c r="FE68" s="61"/>
      <c r="FK68" s="62"/>
      <c r="FR68" s="62"/>
      <c r="FY68" s="62"/>
      <c r="GF68" s="62"/>
      <c r="GM68" s="62"/>
      <c r="GT68" s="62"/>
      <c r="HA68" s="62"/>
      <c r="HO68" s="62"/>
      <c r="HV68" s="62"/>
      <c r="IC68" s="62"/>
      <c r="IJ68" s="62"/>
      <c r="IQ68" s="62"/>
      <c r="IX68" s="62"/>
      <c r="JE68" s="62"/>
      <c r="JL68" s="62"/>
      <c r="JS68" s="62"/>
      <c r="JZ68" s="62"/>
      <c r="KF68" s="61"/>
      <c r="KG68" s="62"/>
      <c r="KN68" s="62"/>
      <c r="KP68" s="61"/>
      <c r="KU68" s="62"/>
      <c r="LB68" s="62"/>
      <c r="LI68" s="62"/>
      <c r="LP68" s="62"/>
      <c r="MD68" s="62"/>
      <c r="MK68" s="62"/>
      <c r="MQ68" s="61"/>
      <c r="MR68" s="62"/>
      <c r="MY68" s="62"/>
    </row>
    <row r="69" spans="130:363">
      <c r="DZ69" s="61"/>
      <c r="EB69" s="62"/>
      <c r="EI69" s="62"/>
      <c r="EP69" s="62"/>
      <c r="EW69" s="62"/>
      <c r="FD69" s="63"/>
      <c r="FE69" s="61"/>
      <c r="FK69" s="62"/>
      <c r="FR69" s="62"/>
      <c r="FY69" s="62"/>
      <c r="GF69" s="62"/>
      <c r="GM69" s="62"/>
      <c r="GT69" s="62"/>
      <c r="HA69" s="62"/>
      <c r="HO69" s="62"/>
      <c r="HV69" s="62"/>
      <c r="IC69" s="62"/>
      <c r="IJ69" s="62"/>
      <c r="IQ69" s="62"/>
      <c r="IX69" s="62"/>
      <c r="JE69" s="62"/>
      <c r="JL69" s="62"/>
      <c r="JS69" s="62"/>
      <c r="JZ69" s="62"/>
      <c r="KF69" s="61"/>
      <c r="KG69" s="62"/>
      <c r="KN69" s="62"/>
      <c r="KP69" s="61"/>
      <c r="KU69" s="62"/>
      <c r="LB69" s="62"/>
      <c r="LI69" s="62"/>
      <c r="LP69" s="62"/>
      <c r="MD69" s="62"/>
      <c r="MK69" s="62"/>
      <c r="MQ69" s="61"/>
      <c r="MR69" s="62"/>
      <c r="MY69" s="62"/>
    </row>
    <row r="70" spans="130:363">
      <c r="DZ70" s="61"/>
      <c r="EB70" s="62"/>
      <c r="EI70" s="62"/>
      <c r="EP70" s="62"/>
      <c r="EW70" s="62"/>
      <c r="FD70" s="63"/>
      <c r="FE70" s="61"/>
      <c r="FK70" s="62"/>
      <c r="FR70" s="62"/>
      <c r="FY70" s="62"/>
      <c r="GF70" s="62"/>
      <c r="GM70" s="62"/>
      <c r="GT70" s="62"/>
      <c r="HA70" s="62"/>
      <c r="HO70" s="62"/>
      <c r="HV70" s="62"/>
      <c r="IC70" s="62"/>
      <c r="IQ70" s="62"/>
      <c r="IX70" s="62"/>
      <c r="JE70" s="62"/>
      <c r="JL70" s="62"/>
      <c r="JS70" s="62"/>
      <c r="JZ70" s="62"/>
      <c r="KF70" s="61"/>
      <c r="KG70" s="62"/>
      <c r="KN70" s="62"/>
      <c r="KP70" s="61"/>
      <c r="KU70" s="62"/>
      <c r="LB70" s="62"/>
      <c r="LP70" s="62"/>
      <c r="MD70" s="62"/>
      <c r="MK70" s="62"/>
      <c r="MQ70" s="61"/>
      <c r="MR70" s="62"/>
      <c r="MY70" s="62"/>
    </row>
    <row r="71" spans="130:363">
      <c r="DZ71" s="61"/>
      <c r="EB71" s="62"/>
      <c r="EI71" s="62"/>
      <c r="EP71" s="62"/>
      <c r="EW71" s="62"/>
      <c r="FD71" s="63"/>
      <c r="FE71" s="61"/>
      <c r="FK71" s="62"/>
      <c r="FR71" s="62"/>
      <c r="FY71" s="62"/>
      <c r="GF71" s="62"/>
      <c r="GM71" s="62"/>
      <c r="GT71" s="62"/>
      <c r="HA71" s="62"/>
      <c r="HO71" s="62"/>
      <c r="HV71" s="62"/>
      <c r="IC71" s="62"/>
      <c r="IQ71" s="62"/>
      <c r="IX71" s="62"/>
      <c r="JE71" s="62"/>
      <c r="JL71" s="62"/>
      <c r="JS71" s="62"/>
      <c r="JZ71" s="62"/>
      <c r="KF71" s="61"/>
      <c r="KG71" s="62"/>
      <c r="KN71" s="62"/>
      <c r="KP71" s="61"/>
      <c r="KU71" s="62"/>
      <c r="LB71" s="62"/>
      <c r="LP71" s="62"/>
      <c r="MD71" s="62"/>
      <c r="MK71" s="62"/>
      <c r="MQ71" s="61"/>
      <c r="MR71" s="62"/>
      <c r="MY71" s="62"/>
    </row>
    <row r="72" spans="130:363">
      <c r="DZ72" s="61"/>
      <c r="EB72" s="62"/>
      <c r="EI72" s="62"/>
      <c r="EP72" s="62"/>
      <c r="EW72" s="62"/>
      <c r="FD72" s="63"/>
      <c r="FE72" s="61"/>
      <c r="FK72" s="62"/>
      <c r="FR72" s="62"/>
      <c r="FY72" s="62"/>
      <c r="GF72" s="62"/>
      <c r="GM72" s="62"/>
      <c r="GT72" s="62"/>
      <c r="HA72" s="62"/>
      <c r="HO72" s="62"/>
      <c r="HV72" s="62"/>
      <c r="IC72" s="62"/>
      <c r="IQ72" s="62"/>
      <c r="IX72" s="62"/>
      <c r="JE72" s="62"/>
      <c r="JL72" s="62"/>
      <c r="JS72" s="62"/>
      <c r="JZ72" s="62"/>
      <c r="KF72" s="61"/>
      <c r="KG72" s="62"/>
      <c r="KN72" s="62"/>
      <c r="KP72" s="61"/>
      <c r="KU72" s="62"/>
      <c r="LB72" s="62"/>
      <c r="LP72" s="62"/>
      <c r="MD72" s="62"/>
      <c r="MK72" s="62"/>
      <c r="MQ72" s="61"/>
      <c r="MR72" s="62"/>
      <c r="MY72" s="62"/>
    </row>
    <row r="73" spans="130:363">
      <c r="DZ73" s="61"/>
      <c r="EB73" s="62"/>
      <c r="EI73" s="62"/>
      <c r="EP73" s="62"/>
      <c r="EW73" s="62"/>
      <c r="FD73" s="63"/>
      <c r="FE73" s="61"/>
      <c r="FK73" s="62"/>
      <c r="FR73" s="62"/>
      <c r="FY73" s="62"/>
      <c r="GF73" s="62"/>
      <c r="GM73" s="62"/>
      <c r="GT73" s="62"/>
      <c r="HA73" s="62"/>
      <c r="HO73" s="62"/>
      <c r="HV73" s="62"/>
      <c r="IC73" s="62"/>
      <c r="IQ73" s="62"/>
      <c r="IX73" s="62"/>
      <c r="JE73" s="62"/>
      <c r="JL73" s="62"/>
      <c r="JS73" s="62"/>
      <c r="JZ73" s="62"/>
      <c r="KF73" s="61"/>
      <c r="KG73" s="62"/>
      <c r="KN73" s="62"/>
      <c r="KP73" s="61"/>
      <c r="KU73" s="62"/>
      <c r="LB73" s="62"/>
      <c r="LP73" s="62"/>
      <c r="MD73" s="62"/>
      <c r="MK73" s="62"/>
      <c r="MQ73" s="61"/>
      <c r="MR73" s="62"/>
      <c r="MY73" s="62"/>
    </row>
    <row r="74" spans="130:363">
      <c r="DZ74" s="61"/>
      <c r="EB74" s="62"/>
      <c r="EI74" s="62"/>
      <c r="EP74" s="62"/>
      <c r="EW74" s="62"/>
      <c r="FD74" s="63"/>
      <c r="FE74" s="61"/>
      <c r="FK74" s="62"/>
      <c r="FR74" s="62"/>
      <c r="FY74" s="62"/>
      <c r="GF74" s="62"/>
      <c r="GM74" s="62"/>
      <c r="GT74" s="62"/>
      <c r="HA74" s="62"/>
      <c r="HO74" s="62"/>
      <c r="HV74" s="62"/>
      <c r="IC74" s="62"/>
      <c r="IQ74" s="62"/>
      <c r="IX74" s="62"/>
      <c r="JE74" s="62"/>
      <c r="JL74" s="62"/>
      <c r="JS74" s="62"/>
      <c r="JZ74" s="62"/>
      <c r="KF74" s="61"/>
      <c r="KG74" s="62"/>
      <c r="KN74" s="62"/>
      <c r="KP74" s="61"/>
      <c r="KU74" s="62"/>
      <c r="LB74" s="62"/>
      <c r="LP74" s="62"/>
      <c r="MD74" s="62"/>
      <c r="MK74" s="62"/>
      <c r="MQ74" s="61"/>
      <c r="MR74" s="62"/>
      <c r="MY74" s="62"/>
    </row>
    <row r="75" spans="130:363">
      <c r="DZ75" s="61"/>
      <c r="EB75" s="62"/>
      <c r="EI75" s="62"/>
      <c r="EP75" s="62"/>
      <c r="EW75" s="62"/>
      <c r="FD75" s="63"/>
      <c r="FE75" s="61"/>
      <c r="FK75" s="62"/>
      <c r="FR75" s="62"/>
      <c r="FY75" s="62"/>
      <c r="GF75" s="62"/>
      <c r="GM75" s="62"/>
      <c r="GT75" s="62"/>
      <c r="HA75" s="62"/>
      <c r="HO75" s="62"/>
      <c r="HV75" s="62"/>
      <c r="IC75" s="62"/>
      <c r="IQ75" s="62"/>
      <c r="IX75" s="62"/>
      <c r="JE75" s="62"/>
      <c r="JL75" s="62"/>
      <c r="JS75" s="62"/>
      <c r="JZ75" s="62"/>
      <c r="KF75" s="61"/>
      <c r="KG75" s="62"/>
      <c r="KN75" s="62"/>
      <c r="KP75" s="61"/>
      <c r="KU75" s="62"/>
      <c r="LB75" s="62"/>
      <c r="LP75" s="62"/>
      <c r="MD75" s="62"/>
      <c r="MK75" s="62"/>
      <c r="MQ75" s="61"/>
      <c r="MR75" s="62"/>
      <c r="MY75" s="62"/>
    </row>
    <row r="76" spans="130:363">
      <c r="DZ76" s="61"/>
      <c r="EB76" s="62"/>
      <c r="EI76" s="62"/>
      <c r="EP76" s="62"/>
      <c r="EW76" s="62"/>
      <c r="FD76" s="63"/>
      <c r="FE76" s="61"/>
      <c r="FK76" s="62"/>
      <c r="FR76" s="62"/>
      <c r="FY76" s="62"/>
      <c r="GF76" s="62"/>
      <c r="GM76" s="62"/>
      <c r="GT76" s="62"/>
      <c r="HA76" s="62"/>
      <c r="HO76" s="62"/>
      <c r="HV76" s="62"/>
      <c r="IC76" s="62"/>
      <c r="IQ76" s="62"/>
      <c r="IX76" s="62"/>
      <c r="JE76" s="62"/>
      <c r="JL76" s="62"/>
      <c r="JS76" s="62"/>
      <c r="JZ76" s="62"/>
      <c r="KF76" s="61"/>
      <c r="KG76" s="62"/>
      <c r="KN76" s="62"/>
      <c r="KP76" s="61"/>
      <c r="KU76" s="62"/>
      <c r="LB76" s="62"/>
      <c r="LP76" s="62"/>
      <c r="MD76" s="62"/>
      <c r="MK76" s="62"/>
      <c r="MQ76" s="61"/>
      <c r="MR76" s="62"/>
      <c r="MY76" s="62"/>
    </row>
    <row r="77" spans="130:363">
      <c r="DZ77" s="61"/>
      <c r="EB77" s="62"/>
      <c r="EI77" s="62"/>
      <c r="EP77" s="62"/>
      <c r="EW77" s="62"/>
      <c r="FD77" s="63"/>
      <c r="FE77" s="61"/>
      <c r="FK77" s="62"/>
      <c r="FR77" s="62"/>
      <c r="FY77" s="62"/>
      <c r="GF77" s="62"/>
      <c r="GM77" s="62"/>
      <c r="GT77" s="62"/>
      <c r="HA77" s="62"/>
      <c r="HO77" s="62"/>
      <c r="HV77" s="62"/>
      <c r="IC77" s="62"/>
      <c r="IQ77" s="62"/>
      <c r="IX77" s="62"/>
      <c r="JE77" s="62"/>
      <c r="JL77" s="62"/>
      <c r="JS77" s="62"/>
      <c r="JZ77" s="62"/>
      <c r="KF77" s="61"/>
      <c r="KG77" s="62"/>
      <c r="KN77" s="62"/>
      <c r="KP77" s="61"/>
      <c r="KU77" s="62"/>
      <c r="LB77" s="62"/>
      <c r="LP77" s="62"/>
      <c r="MD77" s="62"/>
      <c r="MK77" s="62"/>
      <c r="MQ77" s="61"/>
      <c r="MR77" s="62"/>
      <c r="MY77" s="62"/>
    </row>
    <row r="78" spans="130:363">
      <c r="DZ78" s="61"/>
      <c r="EB78" s="62"/>
      <c r="EI78" s="62"/>
      <c r="EP78" s="62"/>
      <c r="EW78" s="62"/>
      <c r="FD78" s="63"/>
      <c r="FE78" s="61"/>
      <c r="FK78" s="62"/>
      <c r="FR78" s="62"/>
      <c r="FY78" s="62"/>
      <c r="GF78" s="62"/>
      <c r="GM78" s="62"/>
      <c r="GT78" s="62"/>
      <c r="HA78" s="62"/>
      <c r="HO78" s="62"/>
      <c r="HV78" s="62"/>
      <c r="IC78" s="62"/>
      <c r="IQ78" s="62"/>
      <c r="IX78" s="62"/>
      <c r="JE78" s="62"/>
      <c r="JL78" s="62"/>
      <c r="JS78" s="62"/>
      <c r="JZ78" s="62"/>
      <c r="KF78" s="61"/>
      <c r="KG78" s="62"/>
      <c r="KN78" s="62"/>
      <c r="KP78" s="61"/>
      <c r="KU78" s="62"/>
      <c r="LB78" s="62"/>
      <c r="LP78" s="62"/>
      <c r="MD78" s="62"/>
      <c r="MK78" s="62"/>
      <c r="MQ78" s="61"/>
      <c r="MR78" s="62"/>
      <c r="MY78" s="62"/>
    </row>
    <row r="79" spans="130:363">
      <c r="DZ79" s="61"/>
      <c r="EB79" s="62"/>
      <c r="EI79" s="62"/>
      <c r="EP79" s="62"/>
      <c r="EW79" s="62"/>
      <c r="FD79" s="63"/>
      <c r="FE79" s="61"/>
      <c r="FK79" s="62"/>
      <c r="FR79" s="62"/>
      <c r="FY79" s="62"/>
      <c r="GF79" s="62"/>
      <c r="GM79" s="62"/>
      <c r="GT79" s="62"/>
      <c r="HA79" s="62"/>
      <c r="HO79" s="62"/>
      <c r="HV79" s="62"/>
      <c r="IC79" s="62"/>
      <c r="IQ79" s="62"/>
      <c r="IX79" s="62"/>
      <c r="JE79" s="62"/>
      <c r="JL79" s="62"/>
      <c r="JS79" s="62"/>
      <c r="JZ79" s="62"/>
      <c r="KF79" s="61"/>
      <c r="KG79" s="62"/>
      <c r="KN79" s="62"/>
      <c r="KP79" s="61"/>
      <c r="KU79" s="62"/>
      <c r="LB79" s="62"/>
      <c r="LP79" s="62"/>
      <c r="MD79" s="62"/>
      <c r="MK79" s="62"/>
      <c r="MQ79" s="61"/>
      <c r="MR79" s="62"/>
      <c r="MY79" s="62"/>
    </row>
    <row r="80" spans="130:363">
      <c r="DZ80" s="61"/>
      <c r="EB80" s="62"/>
      <c r="EI80" s="62"/>
      <c r="EP80" s="62"/>
      <c r="EW80" s="62"/>
      <c r="FD80" s="63"/>
      <c r="FE80" s="61"/>
      <c r="FK80" s="62"/>
      <c r="FR80" s="62"/>
      <c r="FY80" s="62"/>
      <c r="GF80" s="62"/>
      <c r="GM80" s="62"/>
      <c r="GT80" s="62"/>
      <c r="HA80" s="62"/>
      <c r="HO80" s="62"/>
      <c r="HV80" s="62"/>
      <c r="IC80" s="62"/>
      <c r="IQ80" s="62"/>
      <c r="IX80" s="62"/>
      <c r="JE80" s="62"/>
      <c r="JL80" s="62"/>
      <c r="JS80" s="62"/>
      <c r="JZ80" s="62"/>
      <c r="KF80" s="61"/>
      <c r="KG80" s="62"/>
      <c r="KN80" s="62"/>
      <c r="KP80" s="61"/>
      <c r="KU80" s="62"/>
      <c r="LB80" s="62"/>
      <c r="LP80" s="62"/>
      <c r="MD80" s="62"/>
      <c r="MK80" s="62"/>
      <c r="MQ80" s="61"/>
      <c r="MR80" s="62"/>
      <c r="MY80" s="62"/>
    </row>
    <row r="81" spans="130:363">
      <c r="DZ81" s="61"/>
      <c r="EB81" s="62"/>
      <c r="EI81" s="62"/>
      <c r="EP81" s="62"/>
      <c r="EW81" s="62"/>
      <c r="FD81" s="63"/>
      <c r="FE81" s="61"/>
      <c r="FK81" s="62"/>
      <c r="FR81" s="62"/>
      <c r="FY81" s="62"/>
      <c r="GF81" s="62"/>
      <c r="GM81" s="62"/>
      <c r="GT81" s="62"/>
      <c r="HA81" s="62"/>
      <c r="HO81" s="62"/>
      <c r="HV81" s="62"/>
      <c r="IC81" s="62"/>
      <c r="IQ81" s="62"/>
      <c r="IX81" s="62"/>
      <c r="JE81" s="62"/>
      <c r="JL81" s="62"/>
      <c r="JS81" s="62"/>
      <c r="JZ81" s="62"/>
      <c r="KF81" s="61"/>
      <c r="KG81" s="62"/>
      <c r="KN81" s="62"/>
      <c r="KP81" s="61"/>
      <c r="KU81" s="62"/>
      <c r="LB81" s="62"/>
      <c r="LP81" s="62"/>
      <c r="MD81" s="62"/>
      <c r="MK81" s="62"/>
      <c r="MQ81" s="61"/>
      <c r="MR81" s="62"/>
      <c r="MY81" s="62"/>
    </row>
    <row r="82" spans="130:363">
      <c r="DZ82" s="61"/>
      <c r="EB82" s="62"/>
      <c r="EI82" s="62"/>
      <c r="EP82" s="62"/>
      <c r="EW82" s="62"/>
      <c r="FD82" s="63"/>
      <c r="FE82" s="61"/>
      <c r="FK82" s="62"/>
      <c r="FR82" s="62"/>
      <c r="FY82" s="62"/>
      <c r="GM82" s="62"/>
      <c r="GT82" s="62"/>
      <c r="HA82" s="62"/>
      <c r="HO82" s="62"/>
      <c r="HV82" s="62"/>
      <c r="IC82" s="62"/>
      <c r="IQ82" s="62"/>
      <c r="IX82" s="62"/>
      <c r="JE82" s="62"/>
      <c r="JL82" s="62"/>
      <c r="JS82" s="62"/>
      <c r="JZ82" s="62"/>
      <c r="KF82" s="61"/>
      <c r="KG82" s="62"/>
      <c r="KN82" s="62"/>
      <c r="KP82" s="61"/>
      <c r="KU82" s="62"/>
      <c r="LB82" s="62"/>
      <c r="LP82" s="62"/>
      <c r="MD82" s="62"/>
      <c r="MK82" s="62"/>
      <c r="MQ82" s="61"/>
      <c r="MR82" s="62"/>
      <c r="MY82" s="62"/>
    </row>
    <row r="83" spans="130:363">
      <c r="DZ83" s="61"/>
      <c r="EB83" s="62"/>
      <c r="EI83" s="62"/>
      <c r="EP83" s="62"/>
      <c r="EW83" s="62"/>
      <c r="FD83" s="63"/>
      <c r="FE83" s="61"/>
      <c r="FK83" s="62"/>
      <c r="FR83" s="62"/>
      <c r="FY83" s="62"/>
      <c r="GM83" s="62"/>
      <c r="GT83" s="62"/>
      <c r="HA83" s="62"/>
      <c r="HO83" s="62"/>
      <c r="HV83" s="62"/>
      <c r="IC83" s="62"/>
      <c r="IQ83" s="62"/>
      <c r="IX83" s="62"/>
      <c r="JE83" s="62"/>
      <c r="JL83" s="62"/>
      <c r="JS83" s="62"/>
      <c r="JZ83" s="62"/>
      <c r="KF83" s="61"/>
      <c r="KG83" s="62"/>
      <c r="KN83" s="62"/>
      <c r="KP83" s="61"/>
      <c r="KU83" s="62"/>
      <c r="LB83" s="62"/>
      <c r="LP83" s="62"/>
      <c r="MD83" s="62"/>
      <c r="MK83" s="62"/>
      <c r="MQ83" s="61"/>
      <c r="MR83" s="62"/>
      <c r="MY83" s="62"/>
    </row>
    <row r="84" spans="130:363">
      <c r="DZ84" s="61"/>
      <c r="EB84" s="62"/>
      <c r="EI84" s="62"/>
      <c r="EP84" s="62"/>
      <c r="EW84" s="62"/>
      <c r="FD84" s="63"/>
      <c r="FE84" s="61"/>
      <c r="FK84" s="62"/>
      <c r="FY84" s="62"/>
      <c r="GM84" s="62"/>
      <c r="GT84" s="62"/>
      <c r="HA84" s="62"/>
      <c r="HO84" s="62"/>
      <c r="HV84" s="62"/>
      <c r="IC84" s="62"/>
      <c r="IQ84" s="62"/>
      <c r="IX84" s="62"/>
      <c r="JE84" s="62"/>
      <c r="JL84" s="62"/>
      <c r="JS84" s="62"/>
      <c r="JZ84" s="62"/>
      <c r="KF84" s="61"/>
      <c r="KG84" s="62"/>
      <c r="KN84" s="62"/>
      <c r="KP84" s="61"/>
      <c r="KU84" s="62"/>
      <c r="LB84" s="62"/>
      <c r="LP84" s="62"/>
      <c r="MD84" s="62"/>
      <c r="MK84" s="62"/>
      <c r="MQ84" s="61"/>
      <c r="MR84" s="62"/>
      <c r="MY84" s="62"/>
    </row>
    <row r="85" spans="130:363">
      <c r="DZ85" s="61"/>
      <c r="EB85" s="62"/>
      <c r="EI85" s="62"/>
      <c r="EP85" s="62"/>
      <c r="EW85" s="62"/>
      <c r="FD85" s="63"/>
      <c r="FE85" s="61"/>
      <c r="FK85" s="62"/>
      <c r="FY85" s="62"/>
      <c r="GM85" s="62"/>
      <c r="GT85" s="62"/>
      <c r="HA85" s="62"/>
      <c r="HO85" s="62"/>
      <c r="HV85" s="62"/>
      <c r="IC85" s="62"/>
      <c r="IQ85" s="62"/>
      <c r="IX85" s="62"/>
      <c r="JE85" s="62"/>
      <c r="JL85" s="62"/>
      <c r="JS85" s="62"/>
      <c r="JZ85" s="62"/>
      <c r="KF85" s="61"/>
      <c r="KG85" s="62"/>
      <c r="KN85" s="62"/>
      <c r="KP85" s="61"/>
      <c r="KU85" s="62"/>
      <c r="LB85" s="62"/>
      <c r="LP85" s="62"/>
      <c r="MD85" s="62"/>
      <c r="MK85" s="62"/>
      <c r="MQ85" s="61"/>
      <c r="MR85" s="62"/>
      <c r="MY85" s="62"/>
    </row>
    <row r="86" spans="130:363">
      <c r="DZ86" s="61"/>
      <c r="EB86" s="62"/>
      <c r="EI86" s="62"/>
      <c r="EP86" s="62"/>
      <c r="EW86" s="62"/>
      <c r="FD86" s="63"/>
      <c r="FE86" s="61"/>
      <c r="FK86" s="62"/>
      <c r="FY86" s="62"/>
      <c r="GM86" s="62"/>
      <c r="GT86" s="62"/>
      <c r="HA86" s="62"/>
      <c r="HO86" s="62"/>
      <c r="HV86" s="62"/>
      <c r="IC86" s="62"/>
      <c r="IQ86" s="62"/>
      <c r="IX86" s="62"/>
      <c r="JE86" s="62"/>
      <c r="JL86" s="62"/>
      <c r="JS86" s="62"/>
      <c r="JZ86" s="62"/>
      <c r="KF86" s="61"/>
      <c r="KG86" s="62"/>
      <c r="KN86" s="62"/>
      <c r="KP86" s="61"/>
      <c r="KU86" s="62"/>
      <c r="LB86" s="62"/>
      <c r="LP86" s="62"/>
      <c r="MD86" s="62"/>
      <c r="MK86" s="62"/>
      <c r="MQ86" s="61"/>
      <c r="MR86" s="62"/>
      <c r="MY86" s="62"/>
    </row>
    <row r="87" spans="130:363">
      <c r="DZ87" s="61"/>
      <c r="EB87" s="62"/>
      <c r="EI87" s="62"/>
      <c r="EP87" s="62"/>
      <c r="EW87" s="62"/>
      <c r="FD87" s="63"/>
      <c r="FE87" s="61"/>
      <c r="FK87" s="62"/>
      <c r="FY87" s="62"/>
      <c r="GM87" s="62"/>
      <c r="GT87" s="62"/>
      <c r="HA87" s="62"/>
      <c r="HO87" s="62"/>
      <c r="HV87" s="62"/>
      <c r="IC87" s="62"/>
      <c r="IQ87" s="62"/>
      <c r="IX87" s="62"/>
      <c r="JE87" s="62"/>
      <c r="JL87" s="62"/>
      <c r="JS87" s="62"/>
      <c r="JZ87" s="62"/>
      <c r="KF87" s="61"/>
      <c r="KG87" s="62"/>
      <c r="KN87" s="62"/>
      <c r="KU87" s="62"/>
      <c r="LB87" s="62"/>
      <c r="LP87" s="62"/>
      <c r="MD87" s="62"/>
      <c r="MK87" s="62"/>
      <c r="MQ87" s="61"/>
      <c r="MR87" s="62"/>
      <c r="MY87" s="62"/>
    </row>
    <row r="88" spans="130:363">
      <c r="DZ88" s="61"/>
      <c r="EB88" s="62"/>
      <c r="EI88" s="62"/>
      <c r="EP88" s="62"/>
      <c r="EW88" s="62"/>
      <c r="FD88" s="63"/>
      <c r="FE88" s="61"/>
      <c r="FK88" s="62"/>
      <c r="FY88" s="62"/>
      <c r="GM88" s="62"/>
      <c r="GT88" s="62"/>
      <c r="HA88" s="62"/>
      <c r="HO88" s="62"/>
      <c r="HV88" s="62"/>
      <c r="IC88" s="62"/>
      <c r="IQ88" s="62"/>
      <c r="IX88" s="62"/>
      <c r="JE88" s="62"/>
      <c r="JL88" s="62"/>
      <c r="JS88" s="62"/>
      <c r="JZ88" s="62"/>
      <c r="KF88" s="61"/>
      <c r="KG88" s="62"/>
      <c r="KN88" s="62"/>
      <c r="KU88" s="62"/>
      <c r="LB88" s="62"/>
      <c r="LP88" s="62"/>
      <c r="MD88" s="62"/>
      <c r="MK88" s="62"/>
      <c r="MQ88" s="61"/>
      <c r="MR88" s="62"/>
      <c r="MY88" s="62"/>
    </row>
    <row r="89" spans="130:363">
      <c r="DZ89" s="61"/>
      <c r="EB89" s="62"/>
      <c r="EI89" s="62"/>
      <c r="EP89" s="62"/>
      <c r="EW89" s="62"/>
      <c r="FD89" s="63"/>
      <c r="FE89" s="61"/>
      <c r="FK89" s="62"/>
      <c r="FY89" s="62"/>
      <c r="GM89" s="62"/>
      <c r="GT89" s="62"/>
      <c r="HA89" s="62"/>
      <c r="HO89" s="62"/>
      <c r="HV89" s="62"/>
      <c r="IC89" s="62"/>
      <c r="IQ89" s="62"/>
      <c r="IX89" s="62"/>
      <c r="JE89" s="62"/>
      <c r="JL89" s="62"/>
      <c r="JS89" s="62"/>
      <c r="JZ89" s="62"/>
      <c r="KF89" s="61"/>
      <c r="KG89" s="62"/>
      <c r="KN89" s="62"/>
      <c r="KU89" s="62"/>
      <c r="LB89" s="62"/>
      <c r="LP89" s="62"/>
      <c r="MD89" s="62"/>
      <c r="MK89" s="62"/>
      <c r="MQ89" s="61"/>
      <c r="MR89" s="62"/>
      <c r="MY89" s="62"/>
    </row>
    <row r="90" spans="130:363">
      <c r="DZ90" s="61"/>
      <c r="EB90" s="62"/>
      <c r="EP90" s="62"/>
      <c r="EW90" s="62"/>
      <c r="FD90" s="63"/>
      <c r="FE90" s="61"/>
      <c r="FK90" s="62"/>
      <c r="FY90" s="62"/>
      <c r="GM90" s="62"/>
      <c r="GT90" s="62"/>
      <c r="HA90" s="62"/>
      <c r="HO90" s="62"/>
      <c r="HV90" s="62"/>
      <c r="IC90" s="62"/>
      <c r="IQ90" s="62"/>
      <c r="IX90" s="62"/>
      <c r="JE90" s="62"/>
      <c r="JL90" s="62"/>
      <c r="JS90" s="62"/>
      <c r="JZ90" s="62"/>
      <c r="KF90" s="61"/>
      <c r="KG90" s="62"/>
      <c r="KN90" s="62"/>
      <c r="KU90" s="62"/>
      <c r="LB90" s="62"/>
      <c r="LP90" s="62"/>
      <c r="MD90" s="62"/>
      <c r="MK90" s="62"/>
      <c r="MQ90" s="61"/>
      <c r="MR90" s="62"/>
      <c r="MY90" s="62"/>
    </row>
    <row r="91" spans="130:363">
      <c r="DZ91" s="61"/>
      <c r="EB91" s="62"/>
      <c r="EP91" s="62"/>
      <c r="EW91" s="62"/>
      <c r="FD91" s="63"/>
      <c r="FE91" s="61"/>
      <c r="FK91" s="62"/>
      <c r="FY91" s="62"/>
      <c r="GM91" s="62"/>
      <c r="GT91" s="62"/>
      <c r="HA91" s="62"/>
      <c r="HO91" s="62"/>
      <c r="HV91" s="62"/>
      <c r="IC91" s="62"/>
      <c r="IQ91" s="62"/>
      <c r="IX91" s="62"/>
      <c r="JE91" s="62"/>
      <c r="JL91" s="62"/>
      <c r="JS91" s="62"/>
      <c r="JZ91" s="62"/>
      <c r="KF91" s="61"/>
      <c r="KG91" s="62"/>
      <c r="KN91" s="62"/>
      <c r="KU91" s="62"/>
      <c r="LB91" s="62"/>
      <c r="LP91" s="62"/>
      <c r="MD91" s="62"/>
      <c r="MK91" s="62"/>
      <c r="MQ91" s="61"/>
      <c r="MR91" s="62"/>
      <c r="MY91" s="62"/>
    </row>
    <row r="92" spans="130:363">
      <c r="EB92" s="62"/>
      <c r="EP92" s="62"/>
      <c r="EW92" s="62"/>
      <c r="FD92" s="63"/>
      <c r="FE92" s="61"/>
      <c r="FK92" s="62"/>
      <c r="FY92" s="62"/>
      <c r="GM92" s="62"/>
      <c r="GT92" s="62"/>
      <c r="HA92" s="62"/>
      <c r="HO92" s="62"/>
      <c r="HV92" s="62"/>
      <c r="IC92" s="62"/>
      <c r="IQ92" s="62"/>
      <c r="IX92" s="62"/>
      <c r="JE92" s="62"/>
      <c r="JL92" s="62"/>
      <c r="JS92" s="62"/>
      <c r="JZ92" s="62"/>
      <c r="KF92" s="61"/>
      <c r="KG92" s="62"/>
      <c r="KN92" s="62"/>
      <c r="KU92" s="62"/>
      <c r="LB92" s="62"/>
      <c r="LP92" s="62"/>
      <c r="MD92" s="62"/>
      <c r="MK92" s="62"/>
      <c r="MY92" s="62"/>
    </row>
    <row r="93" spans="130:363">
      <c r="EB93" s="62"/>
      <c r="EP93" s="62"/>
      <c r="EW93" s="62"/>
      <c r="FD93" s="63"/>
      <c r="FE93" s="61"/>
      <c r="FK93" s="62"/>
      <c r="FY93" s="62"/>
      <c r="GM93" s="62"/>
      <c r="GT93" s="62"/>
      <c r="HA93" s="62"/>
      <c r="HO93" s="62"/>
      <c r="HV93" s="62"/>
      <c r="IC93" s="62"/>
      <c r="IQ93" s="62"/>
      <c r="IX93" s="62"/>
      <c r="JE93" s="62"/>
      <c r="JL93" s="62"/>
      <c r="JS93" s="62"/>
      <c r="JZ93" s="62"/>
      <c r="KF93" s="61"/>
      <c r="KG93" s="62"/>
      <c r="KN93" s="62"/>
      <c r="KU93" s="62"/>
      <c r="LB93" s="62"/>
      <c r="LP93" s="62"/>
      <c r="MD93" s="62"/>
      <c r="MK93" s="62"/>
      <c r="MY93" s="62"/>
    </row>
    <row r="94" spans="130:363">
      <c r="EB94" s="62"/>
      <c r="EP94" s="62"/>
      <c r="EW94" s="62"/>
      <c r="FD94" s="63"/>
      <c r="FE94" s="61"/>
      <c r="FK94" s="62"/>
      <c r="FY94" s="62"/>
      <c r="GM94" s="62"/>
      <c r="GT94" s="62"/>
      <c r="HA94" s="62"/>
      <c r="HO94" s="62"/>
      <c r="HV94" s="62"/>
      <c r="IC94" s="62"/>
      <c r="IQ94" s="62"/>
      <c r="IX94" s="62"/>
      <c r="JE94" s="62"/>
      <c r="JL94" s="62"/>
      <c r="JS94" s="62"/>
      <c r="JZ94" s="62"/>
      <c r="KF94" s="61"/>
      <c r="KG94" s="62"/>
      <c r="KN94" s="62"/>
      <c r="KU94" s="62"/>
      <c r="LB94" s="62"/>
      <c r="LP94" s="62"/>
      <c r="MD94" s="62"/>
      <c r="MK94" s="62"/>
      <c r="MY94" s="62"/>
    </row>
    <row r="95" spans="130:363">
      <c r="EB95" s="62"/>
      <c r="EP95" s="62"/>
      <c r="EW95" s="62"/>
      <c r="FD95" s="63"/>
      <c r="FE95" s="61"/>
      <c r="FK95" s="62"/>
      <c r="FY95" s="62"/>
      <c r="GM95" s="62"/>
      <c r="GT95" s="62"/>
      <c r="HA95" s="62"/>
      <c r="HO95" s="62"/>
      <c r="HV95" s="62"/>
      <c r="IC95" s="62"/>
      <c r="IQ95" s="62"/>
      <c r="IX95" s="62"/>
      <c r="JE95" s="62"/>
      <c r="JL95" s="62"/>
      <c r="JS95" s="62"/>
      <c r="JZ95" s="62"/>
      <c r="KF95" s="61"/>
      <c r="KG95" s="62"/>
      <c r="KN95" s="62"/>
      <c r="KU95" s="62"/>
      <c r="LB95" s="62"/>
      <c r="LP95" s="62"/>
      <c r="MD95" s="62"/>
      <c r="MK95" s="62"/>
      <c r="MY95" s="62"/>
    </row>
    <row r="96" spans="130:363">
      <c r="EB96" s="62"/>
      <c r="EP96" s="62"/>
      <c r="EW96" s="62"/>
      <c r="FD96" s="63"/>
      <c r="FE96" s="61"/>
      <c r="FK96" s="62"/>
      <c r="FY96" s="62"/>
      <c r="GM96" s="62"/>
      <c r="GT96" s="62"/>
      <c r="HA96" s="62"/>
      <c r="HO96" s="62"/>
      <c r="HV96" s="62"/>
      <c r="IC96" s="62"/>
      <c r="IQ96" s="62"/>
      <c r="IX96" s="62"/>
      <c r="JE96" s="62"/>
      <c r="JL96" s="62"/>
      <c r="JS96" s="62"/>
      <c r="JZ96" s="62"/>
      <c r="KF96" s="61"/>
      <c r="KG96" s="62"/>
      <c r="KN96" s="62"/>
      <c r="KU96" s="62"/>
      <c r="LB96" s="62"/>
      <c r="LP96" s="62"/>
      <c r="MD96" s="62"/>
      <c r="MK96" s="62"/>
      <c r="MY96" s="62"/>
    </row>
    <row r="97" spans="132:363">
      <c r="EB97" s="62"/>
      <c r="EP97" s="62"/>
      <c r="EW97" s="62"/>
      <c r="FD97" s="63"/>
      <c r="FE97" s="61"/>
      <c r="FK97" s="62"/>
      <c r="FY97" s="62"/>
      <c r="GM97" s="62"/>
      <c r="GT97" s="62"/>
      <c r="HA97" s="62"/>
      <c r="HO97" s="62"/>
      <c r="HV97" s="62"/>
      <c r="IC97" s="62"/>
      <c r="IQ97" s="62"/>
      <c r="IX97" s="62"/>
      <c r="JE97" s="62"/>
      <c r="JL97" s="62"/>
      <c r="JS97" s="62"/>
      <c r="JZ97" s="62"/>
      <c r="KF97" s="61"/>
      <c r="KG97" s="62"/>
      <c r="KN97" s="62"/>
      <c r="KU97" s="62"/>
      <c r="LB97" s="62"/>
      <c r="LP97" s="62"/>
      <c r="MD97" s="62"/>
      <c r="MK97" s="62"/>
      <c r="MY97" s="62"/>
    </row>
    <row r="98" spans="132:363">
      <c r="EB98" s="62"/>
      <c r="EP98" s="62"/>
      <c r="EW98" s="62"/>
      <c r="FD98" s="63"/>
      <c r="FE98" s="61"/>
      <c r="FK98" s="62"/>
      <c r="FY98" s="62"/>
      <c r="GM98" s="62"/>
      <c r="GT98" s="62"/>
      <c r="HA98" s="62"/>
      <c r="HO98" s="62"/>
      <c r="HV98" s="62"/>
      <c r="IC98" s="62"/>
      <c r="IQ98" s="62"/>
      <c r="IX98" s="62"/>
      <c r="JE98" s="62"/>
      <c r="JL98" s="62"/>
      <c r="JS98" s="62"/>
      <c r="JZ98" s="62"/>
      <c r="KF98" s="61"/>
      <c r="KG98" s="62"/>
      <c r="KN98" s="62"/>
      <c r="KU98" s="62"/>
      <c r="LB98" s="62"/>
      <c r="LP98" s="62"/>
      <c r="MD98" s="62"/>
      <c r="MK98" s="62"/>
      <c r="MY98" s="62"/>
    </row>
    <row r="99" spans="132:363">
      <c r="EB99" s="62"/>
      <c r="EP99" s="62"/>
      <c r="EW99" s="62"/>
      <c r="FD99" s="63"/>
      <c r="FE99" s="61"/>
      <c r="FK99" s="62"/>
      <c r="FY99" s="62"/>
      <c r="GM99" s="62"/>
      <c r="GT99" s="62"/>
      <c r="HA99" s="62"/>
      <c r="HO99" s="62"/>
      <c r="HV99" s="62"/>
      <c r="IC99" s="62"/>
      <c r="IQ99" s="62"/>
      <c r="IX99" s="62"/>
      <c r="JE99" s="62"/>
      <c r="JL99" s="62"/>
      <c r="JS99" s="62"/>
      <c r="JZ99" s="62"/>
      <c r="KF99" s="61"/>
      <c r="KG99" s="62"/>
      <c r="KN99" s="62"/>
      <c r="KU99" s="62"/>
      <c r="LB99" s="62"/>
      <c r="LP99" s="62"/>
      <c r="MD99" s="62"/>
      <c r="MK99" s="62"/>
      <c r="MY99" s="62"/>
    </row>
    <row r="100" spans="132:363">
      <c r="EB100" s="62"/>
      <c r="EP100" s="62"/>
      <c r="EW100" s="62"/>
      <c r="FD100" s="63"/>
      <c r="FE100" s="61"/>
      <c r="FK100" s="62"/>
      <c r="FY100" s="62"/>
      <c r="GM100" s="62"/>
      <c r="GT100" s="62"/>
      <c r="HA100" s="62"/>
      <c r="HO100" s="62"/>
      <c r="HV100" s="62"/>
      <c r="IC100" s="62"/>
      <c r="IQ100" s="62"/>
      <c r="IX100" s="62"/>
      <c r="JE100" s="62"/>
      <c r="JL100" s="62"/>
      <c r="JS100" s="62"/>
      <c r="JZ100" s="62"/>
      <c r="KF100" s="61"/>
      <c r="KG100" s="62"/>
      <c r="KN100" s="62"/>
      <c r="KU100" s="62"/>
      <c r="LB100" s="62"/>
      <c r="LP100" s="62"/>
      <c r="MD100" s="62"/>
      <c r="MK100" s="62"/>
      <c r="MY100" s="62"/>
    </row>
    <row r="101" spans="132:363">
      <c r="EB101" s="62"/>
      <c r="EP101" s="62"/>
      <c r="EW101" s="62"/>
      <c r="FD101" s="63"/>
      <c r="FE101" s="61"/>
      <c r="FK101" s="62"/>
      <c r="FY101" s="62"/>
      <c r="GM101" s="62"/>
      <c r="GT101" s="62"/>
      <c r="HA101" s="62"/>
      <c r="HO101" s="62"/>
      <c r="HV101" s="62"/>
      <c r="IC101" s="62"/>
      <c r="IQ101" s="62"/>
      <c r="IX101" s="62"/>
      <c r="JE101" s="62"/>
      <c r="JL101" s="62"/>
      <c r="JS101" s="62"/>
      <c r="JZ101" s="62"/>
      <c r="KF101" s="61"/>
      <c r="KG101" s="62"/>
      <c r="KN101" s="62"/>
      <c r="KU101" s="62"/>
      <c r="LB101" s="62"/>
      <c r="LP101" s="62"/>
      <c r="MD101" s="62"/>
      <c r="MK101" s="62"/>
      <c r="MY101" s="62"/>
    </row>
    <row r="102" spans="132:363">
      <c r="EB102" s="62"/>
      <c r="EP102" s="62"/>
      <c r="EW102" s="62"/>
      <c r="FD102" s="63"/>
      <c r="FE102" s="61"/>
      <c r="FK102" s="62"/>
      <c r="FY102" s="62"/>
      <c r="GM102" s="62"/>
      <c r="GT102" s="62"/>
      <c r="HA102" s="62"/>
      <c r="HO102" s="62"/>
      <c r="HV102" s="62"/>
      <c r="IC102" s="62"/>
      <c r="IQ102" s="62"/>
      <c r="IX102" s="62"/>
      <c r="JE102" s="62"/>
      <c r="JL102" s="62"/>
      <c r="JS102" s="62"/>
      <c r="JZ102" s="62"/>
      <c r="KF102" s="61"/>
      <c r="KG102" s="62"/>
      <c r="KN102" s="62"/>
      <c r="KU102" s="62"/>
      <c r="LB102" s="62"/>
      <c r="LP102" s="62"/>
      <c r="MD102" s="62"/>
      <c r="MK102" s="62"/>
      <c r="MY102" s="62"/>
    </row>
    <row r="103" spans="132:363">
      <c r="EB103" s="62"/>
      <c r="EP103" s="62"/>
      <c r="EW103" s="62"/>
      <c r="FD103" s="63"/>
      <c r="FE103" s="61"/>
      <c r="FK103" s="62"/>
      <c r="FY103" s="62"/>
      <c r="GM103" s="62"/>
      <c r="GT103" s="62"/>
      <c r="HA103" s="62"/>
      <c r="HO103" s="62"/>
      <c r="HV103" s="62"/>
      <c r="IC103" s="62"/>
      <c r="IQ103" s="62"/>
      <c r="IX103" s="62"/>
      <c r="JE103" s="62"/>
      <c r="JL103" s="62"/>
      <c r="JS103" s="62"/>
      <c r="JZ103" s="62"/>
      <c r="KF103" s="61"/>
      <c r="KG103" s="62"/>
      <c r="KN103" s="62"/>
      <c r="KU103" s="62"/>
      <c r="LB103" s="62"/>
      <c r="LP103" s="62"/>
      <c r="MD103" s="62"/>
      <c r="MK103" s="62"/>
      <c r="MY103" s="62"/>
    </row>
    <row r="104" spans="132:363">
      <c r="EB104" s="62"/>
      <c r="EP104" s="62"/>
      <c r="EW104" s="62"/>
      <c r="FD104" s="63"/>
      <c r="FE104" s="61"/>
      <c r="FK104" s="62"/>
      <c r="FY104" s="62"/>
      <c r="GM104" s="62"/>
      <c r="GT104" s="62"/>
      <c r="HA104" s="62"/>
      <c r="HO104" s="62"/>
      <c r="HV104" s="62"/>
      <c r="IC104" s="62"/>
      <c r="IQ104" s="62"/>
      <c r="IX104" s="62"/>
      <c r="JE104" s="62"/>
      <c r="JL104" s="62"/>
      <c r="JS104" s="62"/>
      <c r="JZ104" s="62"/>
      <c r="KF104" s="61"/>
      <c r="KG104" s="62"/>
      <c r="KU104" s="62"/>
      <c r="LB104" s="62"/>
      <c r="LP104" s="62"/>
      <c r="MD104" s="62"/>
      <c r="MK104" s="62"/>
      <c r="MY104" s="62"/>
    </row>
    <row r="105" spans="132:363">
      <c r="EB105" s="62"/>
      <c r="EP105" s="62"/>
      <c r="EW105" s="62"/>
      <c r="FD105" s="63"/>
      <c r="FE105" s="61"/>
      <c r="FK105" s="62"/>
      <c r="FY105" s="62"/>
      <c r="GM105" s="62"/>
      <c r="GT105" s="62"/>
      <c r="HA105" s="62"/>
      <c r="HO105" s="62"/>
      <c r="HV105" s="62"/>
      <c r="IC105" s="62"/>
      <c r="IQ105" s="62"/>
      <c r="IX105" s="62"/>
      <c r="JE105" s="62"/>
      <c r="JL105" s="62"/>
      <c r="JS105" s="62"/>
      <c r="JZ105" s="62"/>
      <c r="KF105" s="61"/>
      <c r="KG105" s="62"/>
      <c r="KU105" s="62"/>
      <c r="LB105" s="62"/>
      <c r="LP105" s="62"/>
      <c r="MD105" s="62"/>
      <c r="MK105" s="62"/>
      <c r="MY105" s="62"/>
    </row>
    <row r="106" spans="132:363">
      <c r="EB106" s="62"/>
      <c r="EP106" s="62"/>
      <c r="FD106" s="63"/>
      <c r="FE106" s="61"/>
      <c r="FK106" s="62"/>
      <c r="FY106" s="62"/>
      <c r="GM106" s="62"/>
      <c r="GT106" s="62"/>
      <c r="HA106" s="62"/>
      <c r="HO106" s="62"/>
      <c r="HV106" s="62"/>
      <c r="IC106" s="62"/>
      <c r="IQ106" s="62"/>
      <c r="IX106" s="62"/>
      <c r="JE106" s="62"/>
      <c r="JL106" s="62"/>
      <c r="JS106" s="62"/>
      <c r="JZ106" s="62"/>
      <c r="KF106" s="61"/>
      <c r="KG106" s="62"/>
      <c r="KU106" s="62"/>
      <c r="LB106" s="62"/>
      <c r="LP106" s="62"/>
      <c r="MD106" s="62"/>
      <c r="MK106" s="62"/>
      <c r="MY106" s="62"/>
    </row>
    <row r="107" spans="132:363">
      <c r="EB107" s="62"/>
      <c r="EP107" s="62"/>
      <c r="FD107" s="63"/>
      <c r="FE107" s="61"/>
      <c r="FK107" s="62"/>
      <c r="FY107" s="62"/>
      <c r="GM107" s="62"/>
      <c r="GT107" s="62"/>
      <c r="HA107" s="62"/>
      <c r="HO107" s="62"/>
      <c r="HV107" s="62"/>
      <c r="IC107" s="62"/>
      <c r="IQ107" s="62"/>
      <c r="IX107" s="62"/>
      <c r="JE107" s="62"/>
      <c r="JL107" s="62"/>
      <c r="JS107" s="62"/>
      <c r="JZ107" s="62"/>
      <c r="KF107" s="61"/>
      <c r="KG107" s="62"/>
      <c r="KU107" s="62"/>
      <c r="LB107" s="62"/>
      <c r="LP107" s="62"/>
      <c r="MD107" s="62"/>
      <c r="MK107" s="62"/>
      <c r="MY107" s="62"/>
    </row>
    <row r="108" spans="132:363">
      <c r="EB108" s="62"/>
      <c r="EP108" s="62"/>
      <c r="FK108" s="62"/>
      <c r="FY108" s="62"/>
      <c r="GM108" s="62"/>
      <c r="GT108" s="62"/>
      <c r="HA108" s="62"/>
      <c r="HO108" s="62"/>
      <c r="HV108" s="62"/>
      <c r="IC108" s="62"/>
      <c r="IQ108" s="62"/>
      <c r="IX108" s="62"/>
      <c r="JE108" s="62"/>
      <c r="JL108" s="62"/>
      <c r="JS108" s="62"/>
      <c r="JZ108" s="62"/>
      <c r="KF108" s="61"/>
      <c r="KG108" s="62"/>
      <c r="KU108" s="62"/>
      <c r="LB108" s="62"/>
      <c r="LP108" s="62"/>
      <c r="MD108" s="62"/>
      <c r="MY108" s="62"/>
    </row>
    <row r="109" spans="132:363">
      <c r="EB109" s="62"/>
      <c r="EP109" s="62"/>
      <c r="FK109" s="62"/>
      <c r="FY109" s="62"/>
      <c r="GM109" s="62"/>
      <c r="GT109" s="62"/>
      <c r="HA109" s="62"/>
      <c r="HO109" s="62"/>
      <c r="HV109" s="62"/>
      <c r="IC109" s="62"/>
      <c r="IQ109" s="62"/>
      <c r="IX109" s="62"/>
      <c r="JE109" s="62"/>
      <c r="JL109" s="62"/>
      <c r="JS109" s="62"/>
      <c r="JZ109" s="62"/>
      <c r="KF109" s="61"/>
      <c r="KG109" s="62"/>
      <c r="KU109" s="62"/>
      <c r="LB109" s="62"/>
      <c r="LP109" s="62"/>
      <c r="MD109" s="62"/>
      <c r="MY109" s="62"/>
    </row>
    <row r="110" spans="132:363">
      <c r="EB110" s="62"/>
      <c r="EP110" s="62"/>
      <c r="FK110" s="62"/>
      <c r="FY110" s="62"/>
      <c r="GM110" s="62"/>
      <c r="GT110" s="62"/>
      <c r="HA110" s="62"/>
      <c r="HO110" s="62"/>
      <c r="HV110" s="62"/>
      <c r="IC110" s="62"/>
      <c r="IQ110" s="62"/>
      <c r="IX110" s="62"/>
      <c r="JE110" s="62"/>
      <c r="JL110" s="62"/>
      <c r="JS110" s="62"/>
      <c r="JZ110" s="62"/>
      <c r="KF110" s="61"/>
      <c r="KG110" s="62"/>
      <c r="KU110" s="62"/>
      <c r="LB110" s="62"/>
      <c r="LP110" s="62"/>
      <c r="MD110" s="62"/>
      <c r="MY110" s="62"/>
    </row>
    <row r="111" spans="132:363">
      <c r="EB111" s="62"/>
      <c r="EP111" s="62"/>
      <c r="FK111" s="62"/>
      <c r="FY111" s="62"/>
      <c r="GM111" s="62"/>
      <c r="GT111" s="62"/>
      <c r="HA111" s="62"/>
      <c r="HO111" s="62"/>
      <c r="IC111" s="62"/>
      <c r="IQ111" s="62"/>
      <c r="IX111" s="62"/>
      <c r="JE111" s="62"/>
      <c r="JL111" s="62"/>
      <c r="JS111" s="62"/>
      <c r="JZ111" s="62"/>
      <c r="KF111" s="61"/>
      <c r="KG111" s="62"/>
      <c r="KU111" s="62"/>
      <c r="LB111" s="62"/>
      <c r="LP111" s="62"/>
      <c r="MD111" s="62"/>
      <c r="MY111" s="62"/>
    </row>
    <row r="112" spans="132:363">
      <c r="EB112" s="62"/>
      <c r="EP112" s="62"/>
      <c r="FK112" s="62"/>
      <c r="FY112" s="62"/>
      <c r="GM112" s="62"/>
      <c r="GT112" s="62"/>
      <c r="HA112" s="62"/>
      <c r="HO112" s="62"/>
      <c r="IC112" s="62"/>
      <c r="IQ112" s="62"/>
      <c r="IX112" s="62"/>
      <c r="JE112" s="62"/>
      <c r="JL112" s="62"/>
      <c r="JS112" s="62"/>
      <c r="JZ112" s="62"/>
      <c r="KF112" s="61"/>
      <c r="KG112" s="62"/>
      <c r="KU112" s="62"/>
      <c r="LB112" s="62"/>
      <c r="LP112" s="62"/>
      <c r="MD112" s="62"/>
      <c r="MY112" s="62"/>
    </row>
    <row r="113" spans="132:363">
      <c r="EB113" s="62"/>
      <c r="EP113" s="62"/>
      <c r="FK113" s="62"/>
      <c r="FY113" s="62"/>
      <c r="GM113" s="62"/>
      <c r="GT113" s="62"/>
      <c r="HA113" s="62"/>
      <c r="HO113" s="62"/>
      <c r="IC113" s="62"/>
      <c r="IQ113" s="62"/>
      <c r="IX113" s="62"/>
      <c r="JE113" s="62"/>
      <c r="JL113" s="62"/>
      <c r="JS113" s="62"/>
      <c r="JZ113" s="62"/>
      <c r="KF113" s="61"/>
      <c r="KG113" s="62"/>
      <c r="KU113" s="62"/>
      <c r="LB113" s="62"/>
      <c r="LP113" s="62"/>
      <c r="MD113" s="62"/>
      <c r="MY113" s="62"/>
    </row>
    <row r="114" spans="132:363">
      <c r="EB114" s="62"/>
      <c r="EP114" s="62"/>
      <c r="FK114" s="62"/>
      <c r="FY114" s="62"/>
      <c r="GM114" s="62"/>
      <c r="GT114" s="62"/>
      <c r="HA114" s="62"/>
      <c r="HO114" s="62"/>
      <c r="IC114" s="62"/>
      <c r="IQ114" s="62"/>
      <c r="IX114" s="62"/>
      <c r="JE114" s="62"/>
      <c r="JL114" s="62"/>
      <c r="JS114" s="62"/>
      <c r="JZ114" s="62"/>
      <c r="KF114" s="61"/>
      <c r="KG114" s="62"/>
      <c r="KU114" s="62"/>
      <c r="LB114" s="62"/>
      <c r="LP114" s="62"/>
      <c r="MD114" s="62"/>
      <c r="MY114" s="62"/>
    </row>
    <row r="115" spans="132:363">
      <c r="EB115" s="62"/>
      <c r="EP115" s="62"/>
      <c r="FK115" s="62"/>
      <c r="FY115" s="62"/>
      <c r="GM115" s="62"/>
      <c r="GT115" s="62"/>
      <c r="HA115" s="62"/>
      <c r="HO115" s="62"/>
      <c r="IC115" s="62"/>
      <c r="IQ115" s="62"/>
      <c r="IX115" s="62"/>
      <c r="JE115" s="62"/>
      <c r="JL115" s="62"/>
      <c r="JS115" s="62"/>
      <c r="JZ115" s="62"/>
      <c r="KF115" s="61"/>
      <c r="KG115" s="62"/>
      <c r="KU115" s="62"/>
      <c r="LB115" s="62"/>
      <c r="LP115" s="62"/>
      <c r="MD115" s="62"/>
      <c r="MY115" s="62"/>
    </row>
    <row r="116" spans="132:363">
      <c r="EB116" s="62"/>
      <c r="EP116" s="62"/>
      <c r="FK116" s="62"/>
      <c r="FY116" s="62"/>
      <c r="GM116" s="62"/>
      <c r="GT116" s="62"/>
      <c r="HA116" s="62"/>
      <c r="HO116" s="62"/>
      <c r="IC116" s="62"/>
      <c r="IQ116" s="62"/>
      <c r="IX116" s="62"/>
      <c r="JE116" s="62"/>
      <c r="JL116" s="62"/>
      <c r="JS116" s="62"/>
      <c r="JZ116" s="62"/>
      <c r="KF116" s="61"/>
      <c r="KG116" s="62"/>
      <c r="KU116" s="62"/>
      <c r="LB116" s="62"/>
      <c r="LP116" s="62"/>
      <c r="MD116" s="62"/>
      <c r="MY116" s="62"/>
    </row>
    <row r="117" spans="132:363">
      <c r="EB117" s="62"/>
      <c r="EP117" s="62"/>
      <c r="FK117" s="62"/>
      <c r="FY117" s="62"/>
      <c r="GM117" s="62"/>
      <c r="GT117" s="62"/>
      <c r="HA117" s="62"/>
      <c r="HO117" s="62"/>
      <c r="IC117" s="62"/>
      <c r="IQ117" s="62"/>
      <c r="IX117" s="62"/>
      <c r="JE117" s="62"/>
      <c r="JL117" s="62"/>
      <c r="JS117" s="62"/>
      <c r="JZ117" s="62"/>
      <c r="KF117" s="61"/>
      <c r="KG117" s="62"/>
      <c r="KU117" s="62"/>
      <c r="LB117" s="62"/>
      <c r="LP117" s="62"/>
      <c r="MD117" s="62"/>
      <c r="MY117" s="62"/>
    </row>
    <row r="118" spans="132:363">
      <c r="EB118" s="62"/>
      <c r="EP118" s="62"/>
      <c r="FK118" s="62"/>
      <c r="FY118" s="62"/>
      <c r="GM118" s="62"/>
      <c r="GT118" s="62"/>
      <c r="HA118" s="62"/>
      <c r="HO118" s="62"/>
      <c r="IC118" s="62"/>
      <c r="IQ118" s="62"/>
      <c r="IX118" s="62"/>
      <c r="JE118" s="62"/>
      <c r="JL118" s="62"/>
      <c r="JS118" s="62"/>
      <c r="JZ118" s="62"/>
      <c r="KF118" s="61"/>
      <c r="KG118" s="62"/>
      <c r="KU118" s="62"/>
      <c r="LB118" s="62"/>
      <c r="LP118" s="62"/>
      <c r="MD118" s="62"/>
      <c r="MY118" s="62"/>
    </row>
    <row r="119" spans="132:363">
      <c r="EB119" s="62"/>
      <c r="EP119" s="62"/>
      <c r="FK119" s="62"/>
      <c r="FY119" s="62"/>
      <c r="GM119" s="62"/>
      <c r="GT119" s="62"/>
      <c r="HA119" s="62"/>
      <c r="HO119" s="62"/>
      <c r="IC119" s="62"/>
      <c r="IQ119" s="62"/>
      <c r="IX119" s="62"/>
      <c r="JE119" s="62"/>
      <c r="JL119" s="62"/>
      <c r="JS119" s="62"/>
      <c r="JZ119" s="62"/>
      <c r="KF119" s="61"/>
      <c r="KG119" s="62"/>
      <c r="KU119" s="62"/>
      <c r="LB119" s="62"/>
      <c r="LP119" s="62"/>
      <c r="MD119" s="62"/>
      <c r="MY119" s="62"/>
    </row>
    <row r="120" spans="132:363">
      <c r="EB120" s="62"/>
      <c r="EP120" s="62"/>
      <c r="FK120" s="62"/>
      <c r="FY120" s="62"/>
      <c r="GT120" s="62"/>
      <c r="HA120" s="62"/>
      <c r="HO120" s="62"/>
      <c r="IC120" s="62"/>
      <c r="IQ120" s="62"/>
      <c r="IX120" s="62"/>
      <c r="JE120" s="62"/>
      <c r="JL120" s="62"/>
      <c r="JS120" s="62"/>
      <c r="JZ120" s="62"/>
      <c r="KF120" s="61"/>
      <c r="KG120" s="62"/>
      <c r="KU120" s="62"/>
      <c r="LB120" s="62"/>
      <c r="LP120" s="62"/>
      <c r="MD120" s="62"/>
      <c r="MY120" s="62"/>
    </row>
    <row r="121" spans="132:363">
      <c r="EB121" s="62"/>
      <c r="EP121" s="62"/>
      <c r="FK121" s="62"/>
      <c r="FY121" s="62"/>
      <c r="GT121" s="62"/>
      <c r="HA121" s="62"/>
      <c r="HO121" s="62"/>
      <c r="IC121" s="62"/>
      <c r="IQ121" s="62"/>
      <c r="IX121" s="62"/>
      <c r="JE121" s="62"/>
      <c r="JL121" s="62"/>
      <c r="JS121" s="62"/>
      <c r="JZ121" s="62"/>
      <c r="KF121" s="61"/>
      <c r="KG121" s="62"/>
      <c r="KU121" s="62"/>
      <c r="LB121" s="62"/>
      <c r="LP121" s="62"/>
      <c r="MD121" s="62"/>
      <c r="MY121" s="62"/>
    </row>
    <row r="122" spans="132:363">
      <c r="EB122" s="62"/>
      <c r="EP122" s="62"/>
      <c r="FK122" s="62"/>
      <c r="FY122" s="62"/>
      <c r="GT122" s="62"/>
      <c r="HA122" s="62"/>
      <c r="HO122" s="62"/>
      <c r="IC122" s="62"/>
      <c r="IQ122" s="62"/>
      <c r="IX122" s="62"/>
      <c r="JE122" s="62"/>
      <c r="JL122" s="62"/>
      <c r="JS122" s="62"/>
      <c r="JZ122" s="62"/>
      <c r="KF122" s="61"/>
      <c r="KG122" s="62"/>
      <c r="KU122" s="62"/>
      <c r="LB122" s="62"/>
      <c r="LP122" s="62"/>
      <c r="MD122" s="62"/>
      <c r="MY122" s="62"/>
    </row>
    <row r="123" spans="132:363">
      <c r="EB123" s="62"/>
      <c r="EP123" s="62"/>
      <c r="FK123" s="62"/>
      <c r="FY123" s="62"/>
      <c r="GT123" s="62"/>
      <c r="HA123" s="62"/>
      <c r="HO123" s="62"/>
      <c r="IC123" s="62"/>
      <c r="IQ123" s="62"/>
      <c r="IX123" s="62"/>
      <c r="JE123" s="62"/>
      <c r="JL123" s="62"/>
      <c r="JS123" s="62"/>
      <c r="JZ123" s="62"/>
      <c r="KF123" s="61"/>
      <c r="KG123" s="62"/>
      <c r="KU123" s="62"/>
      <c r="LB123" s="62"/>
      <c r="LP123" s="62"/>
      <c r="MD123" s="62"/>
      <c r="MY123" s="62"/>
    </row>
    <row r="124" spans="132:363">
      <c r="EB124" s="62"/>
      <c r="EP124" s="62"/>
      <c r="FK124" s="62"/>
      <c r="FY124" s="62"/>
      <c r="GT124" s="62"/>
      <c r="HA124" s="62"/>
      <c r="HO124" s="62"/>
      <c r="IC124" s="62"/>
      <c r="IQ124" s="62"/>
      <c r="IX124" s="62"/>
      <c r="JE124" s="62"/>
      <c r="JL124" s="62"/>
      <c r="JS124" s="62"/>
      <c r="JZ124" s="62"/>
      <c r="KF124" s="61"/>
      <c r="KG124" s="62"/>
      <c r="KU124" s="62"/>
      <c r="LB124" s="62"/>
      <c r="LP124" s="62"/>
      <c r="MD124" s="62"/>
      <c r="MY124" s="62"/>
    </row>
    <row r="125" spans="132:363">
      <c r="EB125" s="62"/>
      <c r="EP125" s="62"/>
      <c r="FK125" s="62"/>
      <c r="FY125" s="62"/>
      <c r="GT125" s="62"/>
      <c r="HA125" s="62"/>
      <c r="HO125" s="62"/>
      <c r="IC125" s="62"/>
      <c r="IQ125" s="62"/>
      <c r="IX125" s="62"/>
      <c r="JE125" s="62"/>
      <c r="JL125" s="62"/>
      <c r="JS125" s="62"/>
      <c r="JZ125" s="62"/>
      <c r="KF125" s="61"/>
      <c r="KG125" s="62"/>
      <c r="KU125" s="62"/>
      <c r="LB125" s="62"/>
      <c r="LP125" s="62"/>
      <c r="MD125" s="62"/>
      <c r="MY125" s="62"/>
    </row>
    <row r="126" spans="132:363">
      <c r="EB126" s="62"/>
      <c r="EP126" s="62"/>
      <c r="FK126" s="62"/>
      <c r="FY126" s="62"/>
      <c r="HA126" s="62"/>
      <c r="HO126" s="62"/>
      <c r="IC126" s="62"/>
      <c r="IQ126" s="62"/>
      <c r="IX126" s="62"/>
      <c r="JE126" s="62"/>
      <c r="JL126" s="62"/>
      <c r="JS126" s="62"/>
      <c r="JZ126" s="62"/>
      <c r="KF126" s="61"/>
      <c r="KG126" s="62"/>
      <c r="KU126" s="62"/>
      <c r="LB126" s="62"/>
      <c r="LP126" s="62"/>
      <c r="MD126" s="62"/>
      <c r="MY126" s="62"/>
    </row>
    <row r="127" spans="132:363">
      <c r="EB127" s="62"/>
      <c r="EP127" s="62"/>
      <c r="FK127" s="62"/>
      <c r="FY127" s="62"/>
      <c r="HA127" s="62"/>
      <c r="HO127" s="62"/>
      <c r="IC127" s="62"/>
      <c r="IQ127" s="62"/>
      <c r="IX127" s="62"/>
      <c r="JE127" s="62"/>
      <c r="JL127" s="62"/>
      <c r="JS127" s="62"/>
      <c r="JZ127" s="62"/>
      <c r="KF127" s="61"/>
      <c r="KG127" s="62"/>
      <c r="KU127" s="62"/>
      <c r="LB127" s="62"/>
      <c r="LP127" s="62"/>
      <c r="MD127" s="62"/>
      <c r="MY127" s="62"/>
    </row>
    <row r="128" spans="132:363">
      <c r="EB128" s="62"/>
      <c r="EP128" s="62"/>
      <c r="FK128" s="62"/>
      <c r="FY128" s="62"/>
      <c r="HA128" s="62"/>
      <c r="HO128" s="62"/>
      <c r="IC128" s="62"/>
      <c r="IQ128" s="62"/>
      <c r="IX128" s="62"/>
      <c r="JE128" s="62"/>
      <c r="JL128" s="62"/>
      <c r="JS128" s="62"/>
      <c r="JZ128" s="62"/>
      <c r="KF128" s="61"/>
      <c r="KG128" s="62"/>
      <c r="KU128" s="62"/>
      <c r="LB128" s="62"/>
      <c r="LP128" s="62"/>
      <c r="MD128" s="62"/>
      <c r="MY128" s="62"/>
    </row>
    <row r="129" spans="132:363">
      <c r="EB129" s="62"/>
      <c r="EP129" s="62"/>
      <c r="FK129" s="62"/>
      <c r="FY129" s="62"/>
      <c r="HA129" s="62"/>
      <c r="IC129" s="62"/>
      <c r="IQ129" s="62"/>
      <c r="IX129" s="62"/>
      <c r="JE129" s="62"/>
      <c r="JL129" s="62"/>
      <c r="JS129" s="62"/>
      <c r="JZ129" s="62"/>
      <c r="KF129" s="61"/>
      <c r="KG129" s="62"/>
      <c r="KU129" s="62"/>
      <c r="LB129" s="62"/>
      <c r="LP129" s="62"/>
      <c r="MD129" s="62"/>
      <c r="MY129" s="62"/>
    </row>
    <row r="130" spans="132:363">
      <c r="EB130" s="62"/>
      <c r="EP130" s="62"/>
      <c r="FK130" s="62"/>
      <c r="FY130" s="62"/>
      <c r="HA130" s="62"/>
      <c r="IC130" s="62"/>
      <c r="IQ130" s="62"/>
      <c r="IX130" s="62"/>
      <c r="JE130" s="62"/>
      <c r="JL130" s="62"/>
      <c r="JS130" s="62"/>
      <c r="JZ130" s="62"/>
      <c r="KF130" s="61"/>
      <c r="KG130" s="62"/>
      <c r="KU130" s="62"/>
      <c r="LB130" s="62"/>
      <c r="LP130" s="62"/>
      <c r="MD130" s="62"/>
      <c r="MY130" s="62"/>
    </row>
    <row r="131" spans="132:363">
      <c r="EB131" s="62"/>
      <c r="EP131" s="62"/>
      <c r="FK131" s="62"/>
      <c r="FY131" s="62"/>
      <c r="HA131" s="62"/>
      <c r="IC131" s="62"/>
      <c r="IQ131" s="62"/>
      <c r="IX131" s="62"/>
      <c r="JE131" s="62"/>
      <c r="JL131" s="62"/>
      <c r="JS131" s="62"/>
      <c r="JZ131" s="62"/>
      <c r="KF131" s="61"/>
      <c r="KG131" s="62"/>
      <c r="KU131" s="62"/>
      <c r="LB131" s="62"/>
      <c r="LP131" s="62"/>
      <c r="MD131" s="62"/>
      <c r="MY131" s="62"/>
    </row>
    <row r="132" spans="132:363">
      <c r="EB132" s="62"/>
      <c r="EP132" s="62"/>
      <c r="FK132" s="62"/>
      <c r="FY132" s="62"/>
      <c r="HA132" s="62"/>
      <c r="IC132" s="62"/>
      <c r="IQ132" s="62"/>
      <c r="IX132" s="62"/>
      <c r="JE132" s="62"/>
      <c r="JL132" s="62"/>
      <c r="JS132" s="62"/>
      <c r="JZ132" s="62"/>
      <c r="KF132" s="61"/>
      <c r="KG132" s="62"/>
      <c r="KU132" s="62"/>
      <c r="LB132" s="62"/>
      <c r="LP132" s="62"/>
      <c r="MD132" s="62"/>
      <c r="MY132" s="62"/>
    </row>
    <row r="133" spans="132:363">
      <c r="EB133" s="62"/>
      <c r="EP133" s="62"/>
      <c r="FK133" s="62"/>
      <c r="FY133" s="62"/>
      <c r="HA133" s="62"/>
      <c r="IC133" s="62"/>
      <c r="IQ133" s="62"/>
      <c r="IX133" s="62"/>
      <c r="JE133" s="62"/>
      <c r="JL133" s="62"/>
      <c r="JS133" s="62"/>
      <c r="KF133" s="61"/>
      <c r="KG133" s="62"/>
      <c r="KU133" s="62"/>
      <c r="LB133" s="62"/>
      <c r="MD133" s="62"/>
      <c r="MY133" s="62"/>
    </row>
    <row r="134" spans="132:363">
      <c r="EB134" s="62"/>
      <c r="EP134" s="62"/>
      <c r="FK134" s="62"/>
      <c r="FY134" s="62"/>
      <c r="HA134" s="62"/>
      <c r="IC134" s="62"/>
      <c r="IQ134" s="62"/>
      <c r="IX134" s="62"/>
      <c r="JE134" s="62"/>
      <c r="JL134" s="62"/>
      <c r="JS134" s="62"/>
      <c r="KF134" s="61"/>
      <c r="KG134" s="62"/>
      <c r="KU134" s="62"/>
      <c r="LB134" s="62"/>
      <c r="MD134" s="62"/>
      <c r="MY134" s="62"/>
    </row>
    <row r="135" spans="132:363">
      <c r="EB135" s="62"/>
      <c r="EP135" s="62"/>
      <c r="FK135" s="62"/>
      <c r="FY135" s="62"/>
      <c r="HA135" s="62"/>
      <c r="IC135" s="62"/>
      <c r="IQ135" s="62"/>
      <c r="IX135" s="62"/>
      <c r="JE135" s="62"/>
      <c r="JL135" s="62"/>
      <c r="JS135" s="62"/>
      <c r="KF135" s="61"/>
      <c r="KG135" s="62"/>
      <c r="KU135" s="62"/>
      <c r="LB135" s="62"/>
      <c r="MD135" s="62"/>
      <c r="MY135" s="62"/>
    </row>
    <row r="136" spans="132:363">
      <c r="EB136" s="62"/>
      <c r="EP136" s="62"/>
      <c r="FK136" s="62"/>
      <c r="FY136" s="62"/>
      <c r="HA136" s="62"/>
      <c r="IC136" s="62"/>
      <c r="IQ136" s="62"/>
      <c r="IX136" s="62"/>
      <c r="JE136" s="62"/>
      <c r="JL136" s="62"/>
      <c r="JS136" s="62"/>
      <c r="KF136" s="61"/>
      <c r="KG136" s="62"/>
      <c r="KU136" s="62"/>
      <c r="LB136" s="62"/>
      <c r="MD136" s="62"/>
      <c r="MY136" s="62"/>
    </row>
    <row r="137" spans="132:363">
      <c r="EB137" s="62"/>
      <c r="EP137" s="62"/>
      <c r="FK137" s="62"/>
      <c r="FY137" s="62"/>
      <c r="HA137" s="62"/>
      <c r="IC137" s="62"/>
      <c r="IQ137" s="62"/>
      <c r="IX137" s="62"/>
      <c r="JE137" s="62"/>
      <c r="JL137" s="62"/>
      <c r="JS137" s="62"/>
      <c r="KF137" s="61"/>
      <c r="KG137" s="62"/>
      <c r="KU137" s="62"/>
      <c r="LB137" s="62"/>
      <c r="MD137" s="62"/>
      <c r="MY137" s="62"/>
    </row>
    <row r="138" spans="132:363">
      <c r="EB138" s="62"/>
      <c r="EP138" s="62"/>
      <c r="FK138" s="62"/>
      <c r="FY138" s="62"/>
      <c r="HA138" s="62"/>
      <c r="IC138" s="62"/>
      <c r="IQ138" s="62"/>
      <c r="IX138" s="62"/>
      <c r="JE138" s="62"/>
      <c r="JL138" s="62"/>
      <c r="JS138" s="62"/>
      <c r="KF138" s="61"/>
      <c r="KG138" s="62"/>
      <c r="KU138" s="62"/>
      <c r="LB138" s="62"/>
      <c r="MD138" s="62"/>
      <c r="MY138" s="62"/>
    </row>
    <row r="139" spans="132:363">
      <c r="EB139" s="62"/>
      <c r="EP139" s="62"/>
      <c r="FK139" s="62"/>
      <c r="FY139" s="62"/>
      <c r="HA139" s="62"/>
      <c r="IC139" s="62"/>
      <c r="IQ139" s="62"/>
      <c r="IX139" s="62"/>
      <c r="JE139" s="62"/>
      <c r="JL139" s="62"/>
      <c r="JS139" s="62"/>
      <c r="KF139" s="61"/>
      <c r="KG139" s="62"/>
      <c r="KU139" s="62"/>
      <c r="LB139" s="62"/>
      <c r="MD139" s="62"/>
      <c r="MY139" s="62"/>
    </row>
    <row r="140" spans="132:363">
      <c r="EB140" s="62"/>
      <c r="EP140" s="62"/>
      <c r="FK140" s="62"/>
      <c r="FY140" s="62"/>
      <c r="HA140" s="62"/>
      <c r="IC140" s="62"/>
      <c r="IQ140" s="62"/>
      <c r="IX140" s="62"/>
      <c r="JE140" s="62"/>
      <c r="JL140" s="62"/>
      <c r="JS140" s="62"/>
      <c r="KF140" s="61"/>
      <c r="KG140" s="62"/>
      <c r="KU140" s="62"/>
      <c r="LB140" s="62"/>
      <c r="MD140" s="62"/>
      <c r="MY140" s="62"/>
    </row>
    <row r="141" spans="132:363">
      <c r="EB141" s="62"/>
      <c r="EP141" s="62"/>
      <c r="FK141" s="62"/>
      <c r="FY141" s="62"/>
      <c r="HA141" s="62"/>
      <c r="IC141" s="62"/>
      <c r="IQ141" s="62"/>
      <c r="IX141" s="62"/>
      <c r="JE141" s="62"/>
      <c r="JL141" s="62"/>
      <c r="JS141" s="62"/>
      <c r="KF141" s="61"/>
      <c r="KG141" s="62"/>
      <c r="KU141" s="62"/>
      <c r="LB141" s="62"/>
      <c r="MD141" s="62"/>
      <c r="MY141" s="62"/>
    </row>
    <row r="142" spans="132:363">
      <c r="EB142" s="62"/>
      <c r="EP142" s="62"/>
      <c r="FK142" s="62"/>
      <c r="FY142" s="62"/>
      <c r="HA142" s="62"/>
      <c r="IC142" s="62"/>
      <c r="IQ142" s="62"/>
      <c r="IX142" s="62"/>
      <c r="JE142" s="62"/>
      <c r="JL142" s="62"/>
      <c r="JS142" s="62"/>
      <c r="KF142" s="61"/>
      <c r="KG142" s="62"/>
      <c r="KU142" s="62"/>
      <c r="LB142" s="62"/>
      <c r="MD142" s="62"/>
      <c r="MY142" s="62"/>
    </row>
    <row r="143" spans="132:363">
      <c r="EB143" s="62"/>
      <c r="EP143" s="62"/>
      <c r="FK143" s="62"/>
      <c r="FY143" s="62"/>
      <c r="HA143" s="62"/>
      <c r="IC143" s="62"/>
      <c r="IQ143" s="62"/>
      <c r="IX143" s="62"/>
      <c r="JE143" s="62"/>
      <c r="JL143" s="62"/>
      <c r="JS143" s="62"/>
      <c r="KF143" s="61"/>
      <c r="KG143" s="62"/>
      <c r="KU143" s="62"/>
      <c r="LB143" s="62"/>
      <c r="MD143" s="62"/>
      <c r="MY143" s="62"/>
    </row>
    <row r="144" spans="132:363">
      <c r="EB144" s="62"/>
      <c r="EP144" s="62"/>
      <c r="FK144" s="62"/>
      <c r="FY144" s="62"/>
      <c r="HA144" s="62"/>
      <c r="IC144" s="62"/>
      <c r="IQ144" s="62"/>
      <c r="IX144" s="62"/>
      <c r="JE144" s="62"/>
      <c r="JL144" s="62"/>
      <c r="JS144" s="62"/>
      <c r="KF144" s="61"/>
      <c r="KG144" s="62"/>
      <c r="KU144" s="62"/>
      <c r="LB144" s="62"/>
      <c r="MD144" s="62"/>
      <c r="MY144" s="62"/>
    </row>
    <row r="145" spans="132:363">
      <c r="EB145" s="62"/>
      <c r="EP145" s="62"/>
      <c r="FK145" s="62"/>
      <c r="FY145" s="62"/>
      <c r="HA145" s="62"/>
      <c r="IC145" s="62"/>
      <c r="IQ145" s="62"/>
      <c r="IX145" s="62"/>
      <c r="JE145" s="62"/>
      <c r="JL145" s="62"/>
      <c r="JS145" s="62"/>
      <c r="KF145" s="61"/>
      <c r="KG145" s="62"/>
      <c r="KU145" s="62"/>
      <c r="LB145" s="62"/>
      <c r="MD145" s="62"/>
      <c r="MY145" s="62"/>
    </row>
    <row r="146" spans="132:363">
      <c r="EB146" s="62"/>
      <c r="EP146" s="62"/>
      <c r="FK146" s="62"/>
      <c r="FY146" s="62"/>
      <c r="HA146" s="62"/>
      <c r="IC146" s="62"/>
      <c r="IQ146" s="62"/>
      <c r="IX146" s="62"/>
      <c r="JE146" s="62"/>
      <c r="JL146" s="62"/>
      <c r="JS146" s="62"/>
      <c r="KF146" s="61"/>
      <c r="KG146" s="62"/>
      <c r="KU146" s="62"/>
      <c r="LB146" s="62"/>
      <c r="MD146" s="62"/>
      <c r="MY146" s="62"/>
    </row>
    <row r="147" spans="132:363">
      <c r="EB147" s="62"/>
      <c r="EP147" s="62"/>
      <c r="FK147" s="62"/>
      <c r="FY147" s="62"/>
      <c r="HA147" s="62"/>
      <c r="IC147" s="62"/>
      <c r="IQ147" s="62"/>
      <c r="IX147" s="62"/>
      <c r="JE147" s="62"/>
      <c r="JL147" s="62"/>
      <c r="JS147" s="62"/>
      <c r="KF147" s="61"/>
      <c r="KG147" s="62"/>
      <c r="KU147" s="62"/>
      <c r="LB147" s="62"/>
      <c r="MD147" s="62"/>
      <c r="MY147" s="62"/>
    </row>
    <row r="148" spans="132:363">
      <c r="EB148" s="62"/>
      <c r="EP148" s="62"/>
      <c r="FK148" s="62"/>
      <c r="FY148" s="62"/>
      <c r="HA148" s="62"/>
      <c r="IC148" s="62"/>
      <c r="IQ148" s="62"/>
      <c r="IX148" s="62"/>
      <c r="JE148" s="62"/>
      <c r="JL148" s="62"/>
      <c r="JS148" s="62"/>
      <c r="KF148" s="61"/>
      <c r="KG148" s="62"/>
      <c r="KU148" s="62"/>
      <c r="LB148" s="62"/>
      <c r="MD148" s="62"/>
      <c r="MY148" s="62"/>
    </row>
    <row r="149" spans="132:363">
      <c r="EB149" s="62"/>
      <c r="EP149" s="62"/>
      <c r="FK149" s="62"/>
      <c r="FY149" s="62"/>
      <c r="HA149" s="62"/>
      <c r="IC149" s="62"/>
      <c r="IQ149" s="62"/>
      <c r="IX149" s="62"/>
      <c r="JE149" s="62"/>
      <c r="JL149" s="62"/>
      <c r="JS149" s="62"/>
      <c r="KF149" s="61"/>
      <c r="KG149" s="62"/>
      <c r="KU149" s="62"/>
      <c r="LB149" s="62"/>
      <c r="MD149" s="62"/>
      <c r="MY149" s="62"/>
    </row>
    <row r="150" spans="132:363">
      <c r="EB150" s="62"/>
      <c r="EP150" s="62"/>
      <c r="FK150" s="62"/>
      <c r="FY150" s="62"/>
      <c r="HA150" s="62"/>
      <c r="IC150" s="62"/>
      <c r="IQ150" s="62"/>
      <c r="IX150" s="62"/>
      <c r="JE150" s="62"/>
      <c r="JL150" s="62"/>
      <c r="JS150" s="62"/>
      <c r="KF150" s="61"/>
      <c r="KG150" s="62"/>
      <c r="KU150" s="62"/>
      <c r="LB150" s="62"/>
      <c r="MD150" s="62"/>
      <c r="MY150" s="62"/>
    </row>
    <row r="151" spans="132:363">
      <c r="EB151" s="62"/>
      <c r="EP151" s="62"/>
      <c r="FK151" s="62"/>
      <c r="FY151" s="62"/>
      <c r="HA151" s="62"/>
      <c r="IC151" s="62"/>
      <c r="IQ151" s="62"/>
      <c r="IX151" s="62"/>
      <c r="JE151" s="62"/>
      <c r="JL151" s="62"/>
      <c r="JS151" s="62"/>
      <c r="KF151" s="61"/>
      <c r="KG151" s="62"/>
      <c r="KU151" s="62"/>
      <c r="LB151" s="62"/>
      <c r="MD151" s="62"/>
      <c r="MY151" s="62"/>
    </row>
    <row r="152" spans="132:363">
      <c r="EB152" s="62"/>
      <c r="EP152" s="62"/>
      <c r="FK152" s="62"/>
      <c r="FY152" s="62"/>
      <c r="HA152" s="62"/>
      <c r="IC152" s="62"/>
      <c r="IQ152" s="62"/>
      <c r="IX152" s="62"/>
      <c r="JE152" s="62"/>
      <c r="JL152" s="62"/>
      <c r="JS152" s="62"/>
      <c r="KF152" s="61"/>
      <c r="KG152" s="62"/>
      <c r="KU152" s="62"/>
      <c r="LB152" s="62"/>
      <c r="MD152" s="62"/>
      <c r="MY152" s="62"/>
    </row>
    <row r="153" spans="132:363">
      <c r="EB153" s="62"/>
      <c r="EP153" s="62"/>
      <c r="FK153" s="62"/>
      <c r="FY153" s="62"/>
      <c r="HA153" s="62"/>
      <c r="IC153" s="62"/>
      <c r="IQ153" s="62"/>
      <c r="IX153" s="62"/>
      <c r="JE153" s="62"/>
      <c r="JL153" s="62"/>
      <c r="JS153" s="62"/>
      <c r="KF153" s="61"/>
      <c r="KG153" s="62"/>
      <c r="KU153" s="62"/>
      <c r="LB153" s="62"/>
      <c r="MD153" s="62"/>
      <c r="MY153" s="62"/>
    </row>
    <row r="154" spans="132:363">
      <c r="EB154" s="62"/>
      <c r="EP154" s="62"/>
      <c r="FK154" s="62"/>
      <c r="FY154" s="62"/>
      <c r="HA154" s="62"/>
      <c r="IC154" s="62"/>
      <c r="IQ154" s="62"/>
      <c r="IX154" s="62"/>
      <c r="JE154" s="62"/>
      <c r="JL154" s="62"/>
      <c r="JS154" s="62"/>
      <c r="KF154" s="61"/>
      <c r="KG154" s="62"/>
      <c r="KU154" s="62"/>
      <c r="LB154" s="62"/>
      <c r="MD154" s="62"/>
      <c r="MY154" s="62"/>
    </row>
    <row r="155" spans="132:363">
      <c r="EB155" s="62"/>
      <c r="EP155" s="62"/>
      <c r="FK155" s="62"/>
      <c r="FY155" s="62"/>
      <c r="HA155" s="62"/>
      <c r="IC155" s="62"/>
      <c r="IQ155" s="62"/>
      <c r="IX155" s="62"/>
      <c r="JE155" s="62"/>
      <c r="JL155" s="62"/>
      <c r="JS155" s="62"/>
      <c r="KF155" s="61"/>
      <c r="KG155" s="62"/>
      <c r="KU155" s="62"/>
      <c r="LB155" s="62"/>
      <c r="MD155" s="62"/>
      <c r="MY155" s="62"/>
    </row>
    <row r="156" spans="132:363">
      <c r="EB156" s="62"/>
      <c r="EP156" s="62"/>
      <c r="FK156" s="62"/>
      <c r="FY156" s="62"/>
      <c r="HA156" s="62"/>
      <c r="IC156" s="62"/>
      <c r="IQ156" s="62"/>
      <c r="IX156" s="62"/>
      <c r="JE156" s="62"/>
      <c r="JL156" s="62"/>
      <c r="JS156" s="62"/>
      <c r="KF156" s="61"/>
      <c r="KG156" s="62"/>
      <c r="KU156" s="62"/>
      <c r="LB156" s="62"/>
      <c r="MD156" s="62"/>
      <c r="MY156" s="62"/>
    </row>
    <row r="157" spans="132:363">
      <c r="EB157" s="62"/>
      <c r="EP157" s="62"/>
      <c r="FK157" s="62"/>
      <c r="FY157" s="62"/>
      <c r="HA157" s="62"/>
      <c r="IC157" s="62"/>
      <c r="IQ157" s="62"/>
      <c r="IX157" s="62"/>
      <c r="JE157" s="62"/>
      <c r="JL157" s="62"/>
      <c r="JS157" s="62"/>
      <c r="KF157" s="61"/>
      <c r="KG157" s="62"/>
      <c r="KU157" s="62"/>
      <c r="LB157" s="62"/>
      <c r="MD157" s="62"/>
      <c r="MY157" s="62"/>
    </row>
    <row r="158" spans="132:363">
      <c r="EB158" s="62"/>
      <c r="EP158" s="62"/>
      <c r="FK158" s="62"/>
      <c r="FY158" s="62"/>
      <c r="HA158" s="62"/>
      <c r="IC158" s="62"/>
      <c r="IQ158" s="62"/>
      <c r="IX158" s="62"/>
      <c r="JE158" s="62"/>
      <c r="JL158" s="62"/>
      <c r="JS158" s="62"/>
      <c r="KF158" s="61"/>
      <c r="KG158" s="62"/>
      <c r="KU158" s="62"/>
      <c r="LB158" s="62"/>
      <c r="MD158" s="62"/>
      <c r="MY158" s="62"/>
    </row>
    <row r="159" spans="132:363">
      <c r="EB159" s="62"/>
      <c r="EP159" s="62"/>
      <c r="FK159" s="62"/>
      <c r="FY159" s="62"/>
      <c r="HA159" s="62"/>
      <c r="IC159" s="62"/>
      <c r="IQ159" s="62"/>
      <c r="IX159" s="62"/>
      <c r="JE159" s="62"/>
      <c r="JL159" s="62"/>
      <c r="JS159" s="62"/>
      <c r="KF159" s="61"/>
      <c r="KG159" s="62"/>
      <c r="KU159" s="62"/>
      <c r="LB159" s="62"/>
      <c r="MD159" s="62"/>
      <c r="MY159" s="62"/>
    </row>
    <row r="160" spans="132:363">
      <c r="EB160" s="62"/>
      <c r="EP160" s="62"/>
      <c r="FK160" s="62"/>
      <c r="FY160" s="62"/>
      <c r="HA160" s="62"/>
      <c r="IC160" s="62"/>
      <c r="IQ160" s="62"/>
      <c r="IX160" s="62"/>
      <c r="JE160" s="62"/>
      <c r="JL160" s="62"/>
      <c r="JS160" s="62"/>
      <c r="KF160" s="61"/>
      <c r="KG160" s="62"/>
      <c r="KU160" s="62"/>
      <c r="LB160" s="62"/>
      <c r="MD160" s="62"/>
      <c r="MY160" s="62"/>
    </row>
    <row r="161" spans="132:363">
      <c r="EB161" s="62"/>
      <c r="EP161" s="62"/>
      <c r="FK161" s="62"/>
      <c r="FY161" s="62"/>
      <c r="HA161" s="62"/>
      <c r="IC161" s="62"/>
      <c r="IQ161" s="62"/>
      <c r="IX161" s="62"/>
      <c r="JE161" s="62"/>
      <c r="JL161" s="62"/>
      <c r="JS161" s="62"/>
      <c r="KF161" s="61"/>
      <c r="KG161" s="62"/>
      <c r="KU161" s="62"/>
      <c r="LB161" s="62"/>
      <c r="MD161" s="62"/>
      <c r="MY161" s="62"/>
    </row>
    <row r="162" spans="132:363">
      <c r="EB162" s="62"/>
      <c r="EP162" s="62"/>
      <c r="FK162" s="62"/>
      <c r="FY162" s="62"/>
      <c r="HA162" s="62"/>
      <c r="IC162" s="62"/>
      <c r="IQ162" s="62"/>
      <c r="IX162" s="62"/>
      <c r="JE162" s="62"/>
      <c r="JL162" s="62"/>
      <c r="JS162" s="62"/>
      <c r="KF162" s="61"/>
      <c r="KG162" s="62"/>
      <c r="KU162" s="62"/>
      <c r="LB162" s="62"/>
      <c r="MD162" s="62"/>
      <c r="MY162" s="62"/>
    </row>
    <row r="163" spans="132:363">
      <c r="EB163" s="62"/>
      <c r="EP163" s="62"/>
      <c r="FK163" s="62"/>
      <c r="FY163" s="62"/>
      <c r="HA163" s="62"/>
      <c r="IC163" s="62"/>
      <c r="IQ163" s="62"/>
      <c r="IX163" s="62"/>
      <c r="JE163" s="62"/>
      <c r="JL163" s="62"/>
      <c r="JS163" s="62"/>
      <c r="KF163" s="61"/>
      <c r="KG163" s="62"/>
      <c r="KU163" s="62"/>
      <c r="LB163" s="62"/>
      <c r="MD163" s="62"/>
      <c r="MY163" s="62"/>
    </row>
    <row r="164" spans="132:363">
      <c r="EB164" s="62"/>
      <c r="EP164" s="62"/>
      <c r="FK164" s="62"/>
      <c r="FY164" s="62"/>
      <c r="HA164" s="62"/>
      <c r="IC164" s="62"/>
      <c r="IQ164" s="62"/>
      <c r="IX164" s="62"/>
      <c r="JE164" s="62"/>
      <c r="JL164" s="62"/>
      <c r="JS164" s="62"/>
      <c r="KF164" s="61"/>
      <c r="KG164" s="62"/>
      <c r="KU164" s="62"/>
      <c r="LB164" s="62"/>
      <c r="MD164" s="62"/>
      <c r="MY164" s="62"/>
    </row>
    <row r="165" spans="132:363">
      <c r="EB165" s="62"/>
      <c r="EP165" s="62"/>
      <c r="FK165" s="62"/>
      <c r="FY165" s="62"/>
      <c r="HA165" s="62"/>
      <c r="IC165" s="62"/>
      <c r="IQ165" s="62"/>
      <c r="IX165" s="62"/>
      <c r="JE165" s="62"/>
      <c r="JL165" s="62"/>
      <c r="JS165" s="62"/>
      <c r="KF165" s="61"/>
      <c r="KG165" s="62"/>
      <c r="KU165" s="62"/>
      <c r="LB165" s="62"/>
      <c r="MD165" s="62"/>
      <c r="MY165" s="62"/>
    </row>
    <row r="166" spans="132:363">
      <c r="EB166" s="62"/>
      <c r="EP166" s="62"/>
      <c r="FK166" s="62"/>
      <c r="FY166" s="62"/>
      <c r="HA166" s="62"/>
      <c r="IC166" s="62"/>
      <c r="IQ166" s="62"/>
      <c r="IX166" s="62"/>
      <c r="JE166" s="62"/>
      <c r="JL166" s="62"/>
      <c r="JS166" s="62"/>
      <c r="KF166" s="61"/>
      <c r="KG166" s="62"/>
      <c r="KU166" s="62"/>
      <c r="LB166" s="62"/>
      <c r="MD166" s="62"/>
      <c r="MY166" s="62"/>
    </row>
    <row r="167" spans="132:363">
      <c r="EB167" s="62"/>
      <c r="EP167" s="62"/>
      <c r="FK167" s="62"/>
      <c r="FY167" s="62"/>
      <c r="HA167" s="62"/>
      <c r="IC167" s="62"/>
      <c r="IQ167" s="62"/>
      <c r="IX167" s="62"/>
      <c r="JE167" s="62"/>
      <c r="JL167" s="62"/>
      <c r="JS167" s="62"/>
      <c r="KF167" s="61"/>
      <c r="KG167" s="62"/>
      <c r="KU167" s="62"/>
      <c r="LB167" s="62"/>
      <c r="MD167" s="62"/>
      <c r="MY167" s="62"/>
    </row>
    <row r="168" spans="132:363">
      <c r="EB168" s="62"/>
      <c r="EP168" s="62"/>
      <c r="FK168" s="62"/>
      <c r="FY168" s="62"/>
      <c r="HA168" s="62"/>
      <c r="IC168" s="62"/>
      <c r="IQ168" s="62"/>
      <c r="IX168" s="62"/>
      <c r="JE168" s="62"/>
      <c r="JL168" s="62"/>
      <c r="JS168" s="62"/>
      <c r="KF168" s="61"/>
      <c r="KG168" s="62"/>
      <c r="KU168" s="62"/>
      <c r="LB168" s="62"/>
      <c r="MD168" s="62"/>
      <c r="MY168" s="62"/>
    </row>
    <row r="169" spans="132:363">
      <c r="EB169" s="62"/>
      <c r="EP169" s="62"/>
      <c r="FK169" s="62"/>
      <c r="FY169" s="62"/>
      <c r="HA169" s="62"/>
      <c r="IC169" s="62"/>
      <c r="IQ169" s="62"/>
      <c r="IX169" s="62"/>
      <c r="JE169" s="62"/>
      <c r="JL169" s="62"/>
      <c r="JS169" s="62"/>
      <c r="KF169" s="61"/>
      <c r="KG169" s="62"/>
      <c r="KU169" s="62"/>
      <c r="LB169" s="62"/>
      <c r="MD169" s="62"/>
      <c r="MY169" s="62"/>
    </row>
    <row r="170" spans="132:363">
      <c r="EB170" s="62"/>
      <c r="EP170" s="62"/>
      <c r="FK170" s="62"/>
      <c r="FY170" s="62"/>
      <c r="HA170" s="62"/>
      <c r="IC170" s="62"/>
      <c r="IQ170" s="62"/>
      <c r="IX170" s="62"/>
      <c r="JE170" s="62"/>
      <c r="JL170" s="62"/>
      <c r="JS170" s="62"/>
      <c r="KF170" s="61"/>
      <c r="KG170" s="62"/>
      <c r="KU170" s="62"/>
      <c r="LB170" s="62"/>
      <c r="MD170" s="62"/>
      <c r="MY170" s="62"/>
    </row>
    <row r="171" spans="132:363">
      <c r="EB171" s="62"/>
      <c r="EP171" s="62"/>
      <c r="FK171" s="62"/>
      <c r="FY171" s="62"/>
      <c r="HA171" s="62"/>
      <c r="IC171" s="62"/>
      <c r="IQ171" s="62"/>
      <c r="IX171" s="62"/>
      <c r="JE171" s="62"/>
      <c r="JL171" s="62"/>
      <c r="JS171" s="62"/>
      <c r="KF171" s="61"/>
      <c r="KG171" s="62"/>
      <c r="KU171" s="62"/>
      <c r="LB171" s="62"/>
      <c r="MD171" s="62"/>
      <c r="MY171" s="62"/>
    </row>
    <row r="172" spans="132:363">
      <c r="EB172" s="62"/>
      <c r="EP172" s="62"/>
      <c r="FK172" s="62"/>
      <c r="FY172" s="62"/>
      <c r="HA172" s="62"/>
      <c r="IC172" s="62"/>
      <c r="IQ172" s="62"/>
      <c r="IX172" s="62"/>
      <c r="JE172" s="62"/>
      <c r="JL172" s="62"/>
      <c r="JS172" s="62"/>
      <c r="KF172" s="61"/>
      <c r="KG172" s="62"/>
      <c r="KU172" s="62"/>
      <c r="LB172" s="62"/>
      <c r="MD172" s="62"/>
      <c r="MY172" s="62"/>
    </row>
    <row r="173" spans="132:363">
      <c r="EB173" s="62"/>
      <c r="EP173" s="62"/>
      <c r="FK173" s="62"/>
      <c r="FY173" s="62"/>
      <c r="HA173" s="62"/>
      <c r="IC173" s="62"/>
      <c r="IQ173" s="62"/>
      <c r="IX173" s="62"/>
      <c r="JE173" s="62"/>
      <c r="JL173" s="62"/>
      <c r="JS173" s="62"/>
      <c r="KF173" s="61"/>
      <c r="KG173" s="62"/>
      <c r="KU173" s="62"/>
      <c r="LB173" s="62"/>
      <c r="MD173" s="62"/>
      <c r="MY173" s="62"/>
    </row>
    <row r="174" spans="132:363">
      <c r="EB174" s="62"/>
      <c r="EP174" s="62"/>
      <c r="FK174" s="62"/>
      <c r="FY174" s="62"/>
      <c r="HA174" s="62"/>
      <c r="IC174" s="62"/>
      <c r="IQ174" s="62"/>
      <c r="IX174" s="62"/>
      <c r="JE174" s="62"/>
      <c r="JL174" s="62"/>
      <c r="JS174" s="62"/>
      <c r="KF174" s="61"/>
      <c r="KG174" s="62"/>
      <c r="KU174" s="62"/>
      <c r="LB174" s="62"/>
      <c r="MD174" s="62"/>
      <c r="MY174" s="62"/>
    </row>
    <row r="175" spans="132:363">
      <c r="EB175" s="62"/>
      <c r="EP175" s="62"/>
      <c r="FK175" s="62"/>
      <c r="FY175" s="62"/>
      <c r="HA175" s="62"/>
      <c r="IC175" s="62"/>
      <c r="IQ175" s="62"/>
      <c r="IX175" s="62"/>
      <c r="JE175" s="62"/>
      <c r="JL175" s="62"/>
      <c r="JS175" s="62"/>
      <c r="KF175" s="61"/>
      <c r="KG175" s="62"/>
      <c r="KU175" s="62"/>
      <c r="LB175" s="62"/>
      <c r="MD175" s="62"/>
      <c r="MY175" s="62"/>
    </row>
    <row r="176" spans="132:363">
      <c r="EB176" s="62"/>
      <c r="EP176" s="62"/>
      <c r="FK176" s="62"/>
      <c r="FY176" s="62"/>
      <c r="HA176" s="62"/>
      <c r="IC176" s="62"/>
      <c r="IQ176" s="62"/>
      <c r="IX176" s="62"/>
      <c r="JE176" s="62"/>
      <c r="JL176" s="62"/>
      <c r="JS176" s="62"/>
      <c r="KF176" s="61"/>
      <c r="KG176" s="62"/>
      <c r="KU176" s="62"/>
      <c r="LB176" s="62"/>
      <c r="MD176" s="62"/>
      <c r="MY176" s="62"/>
    </row>
    <row r="177" spans="132:363">
      <c r="EB177" s="62"/>
      <c r="EP177" s="62"/>
      <c r="FK177" s="62"/>
      <c r="FY177" s="62"/>
      <c r="HA177" s="62"/>
      <c r="IC177" s="62"/>
      <c r="IQ177" s="62"/>
      <c r="IX177" s="62"/>
      <c r="JE177" s="62"/>
      <c r="JL177" s="62"/>
      <c r="JS177" s="62"/>
      <c r="KF177" s="61"/>
      <c r="KG177" s="62"/>
      <c r="KU177" s="62"/>
      <c r="LB177" s="62"/>
      <c r="MD177" s="62"/>
      <c r="MY177" s="62"/>
    </row>
    <row r="178" spans="132:363">
      <c r="EB178" s="62"/>
      <c r="EP178" s="62"/>
      <c r="FK178" s="62"/>
      <c r="FY178" s="62"/>
      <c r="HA178" s="62"/>
      <c r="IC178" s="62"/>
      <c r="IQ178" s="62"/>
      <c r="IX178" s="62"/>
      <c r="JE178" s="62"/>
      <c r="JL178" s="62"/>
      <c r="JS178" s="62"/>
      <c r="KF178" s="61"/>
      <c r="KG178" s="62"/>
      <c r="KU178" s="62"/>
      <c r="LB178" s="62"/>
      <c r="MD178" s="62"/>
      <c r="MY178" s="62"/>
    </row>
    <row r="179" spans="132:363">
      <c r="EB179" s="62"/>
      <c r="EP179" s="62"/>
      <c r="FK179" s="62"/>
      <c r="FY179" s="62"/>
      <c r="HA179" s="62"/>
      <c r="IC179" s="62"/>
      <c r="IQ179" s="62"/>
      <c r="IX179" s="62"/>
      <c r="JE179" s="62"/>
      <c r="JL179" s="62"/>
      <c r="JS179" s="62"/>
      <c r="KF179" s="61"/>
      <c r="KG179" s="62"/>
      <c r="KU179" s="62"/>
      <c r="LB179" s="62"/>
      <c r="MD179" s="62"/>
      <c r="MY179" s="62"/>
    </row>
    <row r="180" spans="132:363">
      <c r="EB180" s="62"/>
      <c r="EP180" s="62"/>
      <c r="FK180" s="62"/>
      <c r="FY180" s="62"/>
      <c r="HA180" s="62"/>
      <c r="IC180" s="62"/>
      <c r="IQ180" s="62"/>
      <c r="IX180" s="62"/>
      <c r="JE180" s="62"/>
      <c r="JL180" s="62"/>
      <c r="JS180" s="62"/>
      <c r="KF180" s="61"/>
      <c r="KG180" s="62"/>
      <c r="KU180" s="62"/>
      <c r="LB180" s="62"/>
      <c r="MD180" s="62"/>
      <c r="MY180" s="62"/>
    </row>
    <row r="181" spans="132:363">
      <c r="EB181" s="62"/>
      <c r="EP181" s="62"/>
      <c r="FK181" s="62"/>
      <c r="FY181" s="62"/>
      <c r="HA181" s="62"/>
      <c r="IC181" s="62"/>
      <c r="IQ181" s="62"/>
      <c r="IX181" s="62"/>
      <c r="JE181" s="62"/>
      <c r="JL181" s="62"/>
      <c r="JS181" s="62"/>
      <c r="KF181" s="61"/>
      <c r="KG181" s="62"/>
      <c r="KU181" s="62"/>
      <c r="LB181" s="62"/>
      <c r="MD181" s="62"/>
      <c r="MY181" s="62"/>
    </row>
    <row r="182" spans="132:363">
      <c r="EB182" s="62"/>
      <c r="EP182" s="62"/>
      <c r="FK182" s="62"/>
      <c r="FY182" s="62"/>
      <c r="HA182" s="62"/>
      <c r="IC182" s="62"/>
      <c r="IQ182" s="62"/>
      <c r="IX182" s="62"/>
      <c r="JE182" s="62"/>
      <c r="JL182" s="62"/>
      <c r="JS182" s="62"/>
      <c r="KF182" s="61"/>
      <c r="KG182" s="62"/>
      <c r="KU182" s="62"/>
      <c r="LB182" s="62"/>
      <c r="MD182" s="62"/>
      <c r="MY182" s="62"/>
    </row>
    <row r="183" spans="132:363">
      <c r="EB183" s="62"/>
      <c r="EP183" s="62"/>
      <c r="FK183" s="62"/>
      <c r="FY183" s="62"/>
      <c r="HA183" s="62"/>
      <c r="IC183" s="62"/>
      <c r="IQ183" s="62"/>
      <c r="IX183" s="62"/>
      <c r="JE183" s="62"/>
      <c r="JL183" s="62"/>
      <c r="JS183" s="62"/>
      <c r="KF183" s="61"/>
      <c r="KG183" s="62"/>
      <c r="LB183" s="62"/>
      <c r="MD183" s="62"/>
      <c r="MY183" s="62"/>
    </row>
    <row r="184" spans="132:363">
      <c r="EB184" s="62"/>
      <c r="EP184" s="62"/>
      <c r="FK184" s="62"/>
      <c r="FY184" s="62"/>
      <c r="HA184" s="62"/>
      <c r="IC184" s="62"/>
      <c r="IQ184" s="62"/>
      <c r="IX184" s="62"/>
      <c r="JE184" s="62"/>
      <c r="JL184" s="62"/>
      <c r="JS184" s="62"/>
      <c r="KF184" s="61"/>
      <c r="KG184" s="62"/>
      <c r="LB184" s="62"/>
      <c r="MD184" s="62"/>
      <c r="MY184" s="62"/>
    </row>
    <row r="185" spans="132:363">
      <c r="EB185" s="62"/>
      <c r="EP185" s="62"/>
      <c r="FK185" s="62"/>
      <c r="FY185" s="62"/>
      <c r="HA185" s="62"/>
      <c r="IC185" s="62"/>
      <c r="IQ185" s="62"/>
      <c r="IX185" s="62"/>
      <c r="JE185" s="62"/>
      <c r="JL185" s="62"/>
      <c r="JS185" s="62"/>
      <c r="KF185" s="61"/>
      <c r="KG185" s="62"/>
      <c r="LB185" s="62"/>
      <c r="MD185" s="62"/>
      <c r="MY185" s="62"/>
    </row>
    <row r="186" spans="132:363">
      <c r="EB186" s="62"/>
      <c r="EP186" s="62"/>
      <c r="FK186" s="62"/>
      <c r="FY186" s="62"/>
      <c r="HA186" s="62"/>
      <c r="IC186" s="62"/>
      <c r="IQ186" s="62"/>
      <c r="IX186" s="62"/>
      <c r="JE186" s="62"/>
      <c r="JL186" s="62"/>
      <c r="JS186" s="62"/>
      <c r="KF186" s="61"/>
      <c r="KG186" s="62"/>
      <c r="LB186" s="62"/>
      <c r="MD186" s="62"/>
      <c r="MY186" s="62"/>
    </row>
    <row r="187" spans="132:363">
      <c r="EB187" s="62"/>
      <c r="EP187" s="62"/>
      <c r="FK187" s="62"/>
      <c r="FY187" s="62"/>
      <c r="HA187" s="62"/>
      <c r="IC187" s="62"/>
      <c r="IQ187" s="62"/>
      <c r="IX187" s="62"/>
      <c r="JE187" s="62"/>
      <c r="JL187" s="62"/>
      <c r="JS187" s="62"/>
      <c r="KF187" s="61"/>
      <c r="KG187" s="62"/>
      <c r="LB187" s="62"/>
      <c r="MD187" s="62"/>
      <c r="MY187" s="62"/>
    </row>
    <row r="188" spans="132:363">
      <c r="EB188" s="62"/>
      <c r="EP188" s="62"/>
      <c r="FK188" s="62"/>
      <c r="FY188" s="62"/>
      <c r="HA188" s="62"/>
      <c r="IC188" s="62"/>
      <c r="IQ188" s="62"/>
      <c r="IX188" s="62"/>
      <c r="JE188" s="62"/>
      <c r="JL188" s="62"/>
      <c r="JS188" s="62"/>
      <c r="KF188" s="61"/>
      <c r="KG188" s="62"/>
      <c r="LB188" s="62"/>
      <c r="MD188" s="62"/>
      <c r="MY188" s="62"/>
    </row>
    <row r="189" spans="132:363">
      <c r="EB189" s="62"/>
      <c r="EP189" s="62"/>
      <c r="FK189" s="62"/>
      <c r="FY189" s="62"/>
      <c r="HA189" s="62"/>
      <c r="IC189" s="62"/>
      <c r="IQ189" s="62"/>
      <c r="IX189" s="62"/>
      <c r="JE189" s="62"/>
      <c r="JL189" s="62"/>
      <c r="JS189" s="62"/>
      <c r="KF189" s="61"/>
      <c r="KG189" s="62"/>
      <c r="LB189" s="62"/>
      <c r="MD189" s="62"/>
      <c r="MY189" s="62"/>
    </row>
    <row r="190" spans="132:363">
      <c r="EB190" s="62"/>
      <c r="EP190" s="62"/>
      <c r="FK190" s="62"/>
      <c r="FY190" s="62"/>
      <c r="HA190" s="62"/>
      <c r="IC190" s="62"/>
      <c r="IQ190" s="62"/>
      <c r="IX190" s="62"/>
      <c r="JE190" s="62"/>
      <c r="JL190" s="62"/>
      <c r="JS190" s="62"/>
      <c r="KF190" s="61"/>
      <c r="KG190" s="62"/>
      <c r="LB190" s="62"/>
      <c r="MD190" s="62"/>
      <c r="MY190" s="62"/>
    </row>
    <row r="191" spans="132:363">
      <c r="EB191" s="62"/>
      <c r="EP191" s="62"/>
      <c r="FK191" s="62"/>
      <c r="FY191" s="62"/>
      <c r="HA191" s="62"/>
      <c r="IC191" s="62"/>
      <c r="IQ191" s="62"/>
      <c r="IX191" s="62"/>
      <c r="JE191" s="62"/>
      <c r="JL191" s="62"/>
      <c r="JS191" s="62"/>
      <c r="KF191" s="61"/>
      <c r="KG191" s="62"/>
      <c r="LB191" s="62"/>
      <c r="MD191" s="62"/>
      <c r="MY191" s="62"/>
    </row>
    <row r="192" spans="132:363">
      <c r="EB192" s="62"/>
      <c r="EP192" s="62"/>
      <c r="FK192" s="62"/>
      <c r="FY192" s="62"/>
      <c r="HA192" s="62"/>
      <c r="IC192" s="62"/>
      <c r="IQ192" s="62"/>
      <c r="IX192" s="62"/>
      <c r="JE192" s="62"/>
      <c r="JL192" s="62"/>
      <c r="JS192" s="62"/>
      <c r="KF192" s="61"/>
      <c r="KG192" s="62"/>
      <c r="LB192" s="62"/>
      <c r="MD192" s="62"/>
      <c r="MY192" s="62"/>
    </row>
    <row r="193" spans="132:363">
      <c r="EB193" s="62"/>
      <c r="EP193" s="62"/>
      <c r="FK193" s="62"/>
      <c r="FY193" s="62"/>
      <c r="HA193" s="62"/>
      <c r="IC193" s="62"/>
      <c r="IQ193" s="62"/>
      <c r="IX193" s="62"/>
      <c r="JE193" s="62"/>
      <c r="JL193" s="62"/>
      <c r="JS193" s="62"/>
      <c r="KF193" s="61"/>
      <c r="KG193" s="62"/>
      <c r="LB193" s="62"/>
      <c r="MD193" s="62"/>
      <c r="MY193" s="62"/>
    </row>
    <row r="194" spans="132:363">
      <c r="EB194" s="62"/>
      <c r="EP194" s="62"/>
      <c r="FK194" s="62"/>
      <c r="FY194" s="62"/>
      <c r="HA194" s="62"/>
      <c r="IC194" s="62"/>
      <c r="IQ194" s="62"/>
      <c r="IX194" s="62"/>
      <c r="JE194" s="62"/>
      <c r="JL194" s="62"/>
      <c r="JS194" s="62"/>
      <c r="KF194" s="61"/>
      <c r="KG194" s="62"/>
      <c r="LB194" s="62"/>
      <c r="MD194" s="62"/>
      <c r="MY194" s="62"/>
    </row>
    <row r="195" spans="132:363">
      <c r="EB195" s="62"/>
      <c r="EP195" s="62"/>
      <c r="FK195" s="62"/>
      <c r="FY195" s="62"/>
      <c r="HA195" s="62"/>
      <c r="IC195" s="62"/>
      <c r="IQ195" s="62"/>
      <c r="IX195" s="62"/>
      <c r="JE195" s="62"/>
      <c r="JL195" s="62"/>
      <c r="JS195" s="62"/>
      <c r="KF195" s="61"/>
      <c r="KG195" s="62"/>
      <c r="LB195" s="62"/>
      <c r="MD195" s="62"/>
      <c r="MY195" s="62"/>
    </row>
    <row r="196" spans="132:363">
      <c r="EB196" s="62"/>
      <c r="EP196" s="62"/>
      <c r="FK196" s="62"/>
      <c r="FY196" s="62"/>
      <c r="HA196" s="62"/>
      <c r="IC196" s="62"/>
      <c r="IQ196" s="62"/>
      <c r="IX196" s="62"/>
      <c r="JE196" s="62"/>
      <c r="JL196" s="62"/>
      <c r="JS196" s="62"/>
      <c r="LB196" s="62"/>
      <c r="MD196" s="62"/>
      <c r="MY196" s="62"/>
    </row>
    <row r="197" spans="132:363">
      <c r="EB197" s="62"/>
      <c r="EP197" s="62"/>
      <c r="FK197" s="62"/>
      <c r="FY197" s="62"/>
      <c r="HA197" s="62"/>
      <c r="IC197" s="62"/>
      <c r="IQ197" s="62"/>
      <c r="IX197" s="62"/>
      <c r="JE197" s="62"/>
      <c r="JL197" s="62"/>
      <c r="JS197" s="62"/>
      <c r="LB197" s="62"/>
      <c r="MD197" s="62"/>
      <c r="MY197" s="62"/>
    </row>
    <row r="198" spans="132:363">
      <c r="EB198" s="62"/>
      <c r="FK198" s="62"/>
      <c r="FY198" s="62"/>
      <c r="HA198" s="62"/>
      <c r="IQ198" s="62"/>
      <c r="IX198" s="62"/>
      <c r="JE198" s="62"/>
      <c r="JL198" s="62"/>
      <c r="JS198" s="62"/>
      <c r="LB198" s="62"/>
      <c r="MD198" s="62"/>
      <c r="MY198" s="62"/>
    </row>
    <row r="199" spans="132:363">
      <c r="EB199" s="62"/>
      <c r="FK199" s="62"/>
      <c r="FY199" s="62"/>
      <c r="HA199" s="62"/>
      <c r="IQ199" s="62"/>
      <c r="IX199" s="62"/>
      <c r="JE199" s="62"/>
      <c r="JL199" s="62"/>
      <c r="JS199" s="62"/>
      <c r="LB199" s="62"/>
      <c r="MD199" s="62"/>
      <c r="MY199" s="62"/>
    </row>
    <row r="200" spans="132:363">
      <c r="EB200" s="62"/>
      <c r="FK200" s="62"/>
      <c r="FY200" s="62"/>
      <c r="HA200" s="62"/>
      <c r="IQ200" s="62"/>
      <c r="IX200" s="62"/>
      <c r="JE200" s="62"/>
      <c r="JL200" s="62"/>
      <c r="JS200" s="62"/>
      <c r="LB200" s="62"/>
    </row>
    <row r="201" spans="132:363">
      <c r="EB201" s="62"/>
      <c r="FK201" s="62"/>
      <c r="FY201" s="62"/>
      <c r="HA201" s="62"/>
      <c r="IQ201" s="62"/>
      <c r="IX201" s="62"/>
      <c r="JE201" s="62"/>
      <c r="JL201" s="62"/>
      <c r="JS201" s="62"/>
      <c r="LB201" s="62"/>
    </row>
    <row r="202" spans="132:363">
      <c r="EB202" s="62"/>
      <c r="FK202" s="62"/>
      <c r="FY202" s="62"/>
      <c r="HA202" s="62"/>
      <c r="JE202" s="62"/>
      <c r="JL202" s="62"/>
    </row>
    <row r="203" spans="132:363">
      <c r="EB203" s="62"/>
      <c r="FK203" s="62"/>
      <c r="FY203" s="62"/>
      <c r="HA203" s="62"/>
      <c r="JE203" s="62"/>
      <c r="JL203" s="62"/>
    </row>
    <row r="204" spans="132:363">
      <c r="EB204" s="62"/>
      <c r="FK204" s="62"/>
    </row>
    <row r="205" spans="132:363">
      <c r="EB205" s="62"/>
      <c r="FK205" s="62"/>
    </row>
  </sheetData>
  <autoFilter xmlns:etc="http://www.wps.cn/officeDocument/2017/etCustomData" ref="A5:I35" etc:filterBottomFollowUsedRange="0">
    <sortState ref="A5:I35">
      <sortCondition ref="A5"/>
    </sortState>
    <extLst/>
  </autoFilter>
  <mergeCells count="12">
    <mergeCell ref="J3:AN3"/>
    <mergeCell ref="AO3:BP3"/>
    <mergeCell ref="BQ3:CU3"/>
    <mergeCell ref="CV3:DY3"/>
    <mergeCell ref="DZ3:FD3"/>
    <mergeCell ref="FE3:GH3"/>
    <mergeCell ref="GI3:HM3"/>
    <mergeCell ref="HN3:IR3"/>
    <mergeCell ref="IS3:JV3"/>
    <mergeCell ref="JW3:LA3"/>
    <mergeCell ref="LB3:ME3"/>
    <mergeCell ref="MF3:NJ3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A529D97-9574-471B-9CFB-A981D02D9E1E}">
  <ds:schemaRefs/>
</ds:datastoreItem>
</file>

<file path=customXml/itemProps2.xml><?xml version="1.0" encoding="utf-8"?>
<ds:datastoreItem xmlns:ds="http://schemas.openxmlformats.org/officeDocument/2006/customXml" ds:itemID="{5E97C607-6D94-4A42-BCFA-401F6E3052E0}">
  <ds:schemaRefs/>
</ds:datastoreItem>
</file>

<file path=customXml/itemProps3.xml><?xml version="1.0" encoding="utf-8"?>
<ds:datastoreItem xmlns:ds="http://schemas.openxmlformats.org/officeDocument/2006/customXml" ds:itemID="{850E22B9-9D0B-4BC3-9754-E9DCD40C14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Master Record</vt:lpstr>
      <vt:lpstr>Kevin Omondi</vt:lpstr>
      <vt:lpstr>Paul Keitany</vt:lpstr>
      <vt:lpstr>Leonard Omenya</vt:lpstr>
      <vt:lpstr>David Odhiambo Ogolla</vt:lpstr>
      <vt:lpstr>Mark Zeddy Ndubi</vt:lpstr>
      <vt:lpstr>John Kyalo Kimanzi</vt:lpstr>
      <vt:lpstr>Peter Imeleny Mamai </vt:lpstr>
      <vt:lpstr>Samuel Kiambati Migwi</vt:lpstr>
      <vt:lpstr>Roynorris Ndiritu</vt:lpstr>
      <vt:lpstr>Benard Mukanda</vt:lpstr>
      <vt:lpstr>Samuel Onyango Okello</vt:lpstr>
      <vt:lpstr>Mark Etyang</vt:lpstr>
      <vt:lpstr>Gerald Okoth</vt:lpstr>
      <vt:lpstr>Lewis Mbatia</vt:lpstr>
      <vt:lpstr>Femi Gisemba Gichuki</vt:lpstr>
      <vt:lpstr>Kelvin Mwangi</vt:lpstr>
      <vt:lpstr>Doreen Marete</vt:lpstr>
      <vt:lpstr>Weldon Ruto</vt:lpstr>
      <vt:lpstr>Beryl Kashara</vt:lpstr>
      <vt:lpstr>Levi Ekapten </vt:lpstr>
      <vt:lpstr>Kevin Njue </vt:lpstr>
      <vt:lpstr>Emmanuel Saitoti</vt:lpstr>
      <vt:lpstr>Joy Odhiambo</vt:lpstr>
      <vt:lpstr>Josphat Kagiri</vt:lpstr>
      <vt:lpstr>Maryliz Wangari</vt:lpstr>
      <vt:lpstr>Joy Regeria Makena</vt:lpstr>
      <vt:lpstr>Lilian Irungu </vt:lpstr>
      <vt:lpstr>Mercy Nyambura</vt:lpstr>
      <vt:lpstr>Dennis Mutunga</vt:lpstr>
      <vt:lpstr>Mary Nyaboke</vt:lpstr>
      <vt:lpstr>Edward Musyoki</vt:lpstr>
      <vt:lpstr>Alex Mireri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Doreen Marete</dc:creator>
  <cp:lastModifiedBy>WPS_1776844354</cp:lastModifiedBy>
  <dcterms:created xsi:type="dcterms:W3CDTF">2024-04-08T08:02:00Z</dcterms:created>
  <cp:lastPrinted>2026-02-25T13:30:00Z</cp:lastPrinted>
  <dcterms:modified xsi:type="dcterms:W3CDTF">2026-04-27T08:22:14Z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0x010100084265B49CCE0C48BBD086B08E41B942</vt:lpwstr>
  </property>
  <property fmtid="{D5CDD505-2E9C-101B-9397-08002B2CF9AE}" pid="3" name="ICV">
    <vt:lpwstr>D0BA4447314F4F49851C0802D7D8AA25_12</vt:lpwstr>
  </property>
  <property fmtid="{D5CDD505-2E9C-101B-9397-08002B2CF9AE}" pid="4" name="KSOProductBuildVer">
    <vt:lpwstr>1033-12.1.0.25242</vt:lpwstr>
  </property>
  <property fmtid="{D5CDD505-2E9C-101B-9397-08002B2CF9AE}" pid="5" name="CalculationRule">
    <vt:i4>0</vt:i4>
  </property>
</Properties>
</file>